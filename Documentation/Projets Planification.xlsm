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3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H56" i="1"/>
  <c r="L54" i="1"/>
  <c r="D54" i="1"/>
  <c r="H52" i="1"/>
  <c r="D52" i="1"/>
  <c r="F50" i="1"/>
  <c r="D50" i="1"/>
  <c r="L52" i="1"/>
  <c r="J54" i="1"/>
  <c r="J50" i="1"/>
  <c r="F54" i="1"/>
  <c r="J52" i="1"/>
  <c r="L50" i="1"/>
  <c r="H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78" i="1"/>
  <c r="H48" i="1"/>
  <c r="H46" i="1"/>
  <c r="H64" i="1"/>
  <c r="H20" i="1"/>
  <c r="H30" i="1"/>
  <c r="H16" i="1"/>
  <c r="H84" i="1"/>
  <c r="H44" i="1"/>
  <c r="H42" i="1"/>
  <c r="H14" i="1"/>
  <c r="H72" i="1"/>
  <c r="H70" i="1"/>
  <c r="H80" i="1"/>
  <c r="H68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H7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<sst xmlns="http://schemas.openxmlformats.org/spreadsheetml/2006/main" count="143" uniqueCount="87">
  <si>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</si>
  <si>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</si>
  <si>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</si>
  <si>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</si>
  <si>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</si>
  <si>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</si>
  <si>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</si>
  <si>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</si>
  <si>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</si>
  <si>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</si>
  <si>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</si>
  <si>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</si>
  <si>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</si>
  <si>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</si>
  <si>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</si>
  <si>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</si>
  <si>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</si>
  <si>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</si>
  <si>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</si>
  <si>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</si>
  <si>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</si>
  <si>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</si>
  <si>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</si>
  <si>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</si>
  <si>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</si>
  <si>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</si>
  <si>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</si>
  <si>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</si>
  <si>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</si>
  <si>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</si>
  <si>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</si>
  <si>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</si>
  <si>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</si>
  <si>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</si>
  <si>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</si>
  <si>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</si>
  <si>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</si>
  <si>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</si>
  <si>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</si>
  <si>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</si>
  <si>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</si>
  <si>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</si>
  <si>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</si>
  <si>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</si>
  <si>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</si>
  <si>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</si>
  <si>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</si>
  <si>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</si>
  <si>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</si>
  <si>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</si>
  <si>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</si>
  <si>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</si>
  <si>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</si>
  <si>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</si>
  <si>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</si>
  <si>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</si>
  <si>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</si>
  <si>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</si>
  <si>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</si>
  <si>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</si>
  <si>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</si>
  <si>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</si>
  <si>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</si>
  <si>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</si>
  <si>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</si>
  <si>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</si>
  <si>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</si>
  <si>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</si>
  <si>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</si>
  <si>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</si>
  <si>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 xml:space="preserve">Lundi </t>
  </si>
  <si>
    <t>mardi</t>
  </si>
  <si>
    <t>mercredi</t>
  </si>
  <si>
    <t>jeudi</t>
  </si>
  <si>
    <t>6H45</t>
  </si>
  <si>
    <t>3h45</t>
  </si>
  <si>
    <t>6h45</t>
  </si>
  <si>
    <t>5h15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</si>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</sst>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  <xf numFmtId="0" fontId="0" fillId="0" borderId="24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opLeftCell="A43" zoomScale="70" zoomScaleNormal="70" zoomScalePageLayoutView="70" workbookViewId="0">
      <selection activeCell="C55" sqref="C55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34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0.93750000000000011</v>
      </c>
      <c r="G8">
        <f t="shared" si="1"/>
        <v>0</v>
      </c>
      <c r="H8" s="104">
        <f t="shared" si="1"/>
        <v>0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Bord'!$D$4:$D$9266,' Journal de Bord'!$B$4:$B$9266,J$5,' Journal de Bord'!$C$4:$C$9266,$B11)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Bord'!$D$4:$D$9266,' Journal de Bord'!$B$4:$B$9266,H$5,' Journal de Bord'!$C$4:$C$9266,$B13)</f>
        <v>0</v>
      </c>
      <c r="I14" s="60"/>
      <c r="J14" s="58"/>
      <c r="K14" s="60"/>
      <c r="L14" s="58">
        <f>SUMIFS(' Journal de Bord'!$D$4:$D$9266,' Journal de Bord'!$B$4:$B$9266,L$5,' Journal de Bord'!$C$4:$C$9266,$B13)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Bord'!$D$4:$D$9266,' Journal de Bord'!$B$4:$B$9266,H$5,' Journal de Bord'!$C$4:$C$9266,$B15)</f>
        <v>0</v>
      </c>
      <c r="I16" s="60"/>
      <c r="J16" s="58">
        <f>SUMIFS(' Journal de Bord'!$D$4:$D$9266,' Journal de Bord'!$B$4:$B$9266,J$5,' Journal de Bord'!$C$4:$C$9266,$B15)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Bord'!$D$4:$D$9266,' Journal de Bord'!$B$4:$B$9266,F$5,' Journal de Bord'!$C$4:$C$9266,$B17)</f>
        <v>0</v>
      </c>
      <c r="G18" s="59"/>
      <c r="H18" s="58">
        <f>SUMIFS(' Journal de Bord'!$D$4:$D$9266,' Journal de Bord'!$B$4:$B$9266,H$5,' Journal de Bord'!$C$4:$C$9266,$B17)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Bord'!$D$4:$D$9266,' Journal de Bord'!$B$4:$B$9266,F$5,' Journal de Bord'!$C$4:$C$9266,$B19)</f>
        <v>0</v>
      </c>
      <c r="G20" s="59"/>
      <c r="H20" s="58">
        <f>SUMIFS(' Journal de Bord'!$D$4:$D$9266,' Journal de Bord'!$B$4:$B$9266,H$5,' Journal de Bord'!$C$4:$C$9266,$B19)</f>
        <v>0</v>
      </c>
      <c r="I20" s="60"/>
      <c r="J20" s="58"/>
      <c r="K20" s="60"/>
      <c r="L20" s="58">
        <f>SUMIFS(' Journal de Bord'!$D$4:$D$9266,' Journal de Bord'!$B$4:$B$9266,L$5,' Journal de Bord'!$C$4:$C$9266,$B19)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Bord'!$D$4:$D$9266,' Journal de Bord'!$B$4:$B$9266,J$5,' Journal de Bord'!$C$4:$C$9266,$B21)</f>
        <v>0</v>
      </c>
      <c r="K22" s="60"/>
      <c r="L22" s="58">
        <f>SUMIFS(' Journal de Bord'!$D$4:$D$9266,' Journal de Bord'!$B$4:$B$9266,L$5,' Journal de Bord'!$C$4:$C$9266,$B21)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Bord'!$D$4:$D$9266,' Journal de Bord'!$B$4:$B$9266,H$5,' Journal de Bord'!$C$4:$C$9266,$B25)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Bord'!$D$4:$D$9266,' Journal de Bord'!$B$4:$B$9266,H$5,' Journal de Bord'!$C$4:$C$9266,$B27)</f>
        <v>0</v>
      </c>
      <c r="I28" s="60"/>
      <c r="J28" s="58"/>
      <c r="K28" s="60"/>
      <c r="L28" s="58">
        <f>SUMIFS(' Journal de Bord'!$D$4:$D$9266,' Journal de Bord'!$B$4:$B$9266,L$5,' Journal de Bord'!$C$4:$C$9266,$B27)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Bord'!$D$4:$D$9266,' Journal de Bord'!$B$4:$B$9266,F$5,' Journal de Bord'!$C$4:$C$9266,$B29)</f>
        <v>0</v>
      </c>
      <c r="G30" s="59"/>
      <c r="H30" s="58">
        <f>SUMIFS(' Journal de Bord'!$D$4:$D$9266,' Journal de Bord'!$B$4:$B$9266,H$5,' Journal de Bord'!$C$4:$C$9266,$B29)</f>
        <v>0</v>
      </c>
      <c r="I30" s="60"/>
      <c r="J30" s="58">
        <f>SUMIFS(' Journal de Bord'!$D$4:$D$9266,' Journal de Bord'!$B$4:$B$9266,J$5,' Journal de Bord'!$C$4:$C$9266,$B29)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Bord'!$D$4:$D$9266,' Journal de Bord'!$B$4:$B$9266,H$5,' Journal de Bord'!$C$4:$C$9266,$B31)</f>
        <v>0</v>
      </c>
      <c r="I32" s="60"/>
      <c r="J32" s="58">
        <f>SUMIFS(' Journal de Bord'!$D$4:$D$9266,' Journal de Bord'!$B$4:$B$9266,J$5,' Journal de Bord'!$C$4:$C$9266,$B31)</f>
        <v>0</v>
      </c>
      <c r="K32" s="60"/>
      <c r="L32" s="58">
        <f>SUMIFS(' Journal de Bord'!$D$4:$D$9266,' Journal de Bord'!$B$4:$B$9266,L$5,' Journal de Bord'!$C$4:$C$9266,$B31)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Bord'!$D$4:$D$9266,' Journal de Bord'!$B$4:$B$9266,F$5,' Journal de Bord'!$C$4:$C$9266,$B33)</f>
        <v>0</v>
      </c>
      <c r="G34" s="59"/>
      <c r="H34" s="58">
        <f>SUMIFS(' Journal de Bord'!$D$4:$D$9266,' Journal de Bord'!$B$4:$B$9266,H$5,' Journal de Bord'!$C$4:$C$9266,$B33)</f>
        <v>0</v>
      </c>
      <c r="I34" s="60"/>
      <c r="J34" s="58">
        <f>SUMIFS(' Journal de Bord'!$D$4:$D$9266,' Journal de Bord'!$B$4:$B$9266,J$5,' Journal de Bord'!$C$4:$C$9266,$B33)</f>
        <v>0</v>
      </c>
      <c r="K34" s="60"/>
      <c r="L34" s="58">
        <f>SUMIFS(' Journal de Bord'!$D$4:$D$9266,' Journal de Bord'!$B$4:$B$9266,L$5,' Journal de Bord'!$C$4:$C$9266,$B33)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Bord'!$D$4:$D$9266,' Journal de Bord'!$B$4:$B$9266,H$5,' Journal de Bord'!$C$4:$C$9266,$B35)</f>
        <v>0</v>
      </c>
      <c r="I36" s="60"/>
      <c r="J36" s="58">
        <f>SUMIFS(' Journal de Bord'!$D$4:$D$9266,' Journal de Bord'!$B$4:$B$9266,J$5,' Journal de Bord'!$C$4:$C$9266,$B35)</f>
        <v>0</v>
      </c>
      <c r="K36" s="60"/>
      <c r="L36" s="58">
        <f>SUMIFS(' Journal de Bord'!$D$4:$D$9266,' Journal de Bord'!$B$4:$B$9266,L$5,' Journal de Bord'!$C$4:$C$9266,$B35)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0.47222222222222227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Bord'!$D$4:$D$9266,' Journal de Bord'!$B$4:$B$9266,F$5,' Journal de Bord'!$C$4:$C$9266,$B39)</f>
        <v>0</v>
      </c>
      <c r="G40" s="59"/>
      <c r="H40" s="58">
        <f>SUMIFS(' Journal de Bord'!$D$4:$D$9266,' Journal de Bord'!$B$4:$B$9266,H$5,' Journal de Bord'!$C$4:$C$9266,$B39)</f>
        <v>0</v>
      </c>
      <c r="I40" s="60"/>
      <c r="J40" s="58">
        <f>SUMIFS(' Journal de Bord'!$D$4:$D$9266,' Journal de Bord'!$B$4:$B$9266,J$5,' Journal de Bord'!$C$4:$C$9266,$B39)</f>
        <v>0</v>
      </c>
      <c r="K40" s="60"/>
      <c r="L40" s="58">
        <f>SUMIFS(' Journal de Bord'!$D$4:$D$9266,' Journal de Bord'!$B$4:$B$9266,L$5,' Journal de Bord'!$C$4:$C$9266,$B39)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Bord'!$D$4:$D$9266,' Journal de Bord'!$B$4:$B$9266,F$5,' Journal de Bord'!$C$4:$C$9266,$B41)</f>
        <v>0</v>
      </c>
      <c r="G42" s="59"/>
      <c r="H42" s="58">
        <f>SUMIFS(' Journal de Bord'!$D$4:$D$9266,' Journal de Bord'!$B$4:$B$9266,H$5,' Journal de Bord'!$C$4:$C$9266,$B41)</f>
        <v>0</v>
      </c>
      <c r="I42" s="60"/>
      <c r="J42" s="58">
        <f>SUMIFS(' Journal de Bord'!$D$4:$D$9266,' Journal de Bord'!$B$4:$B$9266,J$5,' Journal de Bord'!$C$4:$C$9266,$B41)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Bord'!$D$4:$D$9266,' Journal de Bord'!$B$4:$B$9266,D$5,' Journal de Bord'!$C$4:$C$9266,$B43)</f>
        <v>0</v>
      </c>
      <c r="E44" s="59"/>
      <c r="F44" s="58">
        <v>4.1666666666666664E-2</v>
      </c>
      <c r="G44" s="59"/>
      <c r="H44" s="58">
        <f>SUMIFS(' Journal de Bord'!$D$4:$D$9266,' Journal de Bord'!$B$4:$B$9266,H$5,' Journal de Bord'!$C$4:$C$9266,$B43)</f>
        <v>0</v>
      </c>
      <c r="I44" s="60"/>
      <c r="J44" s="58">
        <f>SUMIFS(' Journal de Bord'!$D$4:$D$9266,' Journal de Bord'!$B$4:$B$9266,J$5,' Journal de Bord'!$C$4:$C$9266,$B43)</f>
        <v>0</v>
      </c>
      <c r="K44" s="60"/>
      <c r="L44" s="58">
        <f>SUMIFS(' Journal de Bord'!$D$4:$D$9266,' Journal de Bord'!$B$4:$B$9266,L$5,' Journal de Bord'!$C$4:$C$9266,$B43)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Bord'!$D$4:$D$9266,' Journal de Bord'!$B$4:$B$9266,D$5,' Journal de Bord'!$C$4:$C$9266,$B45)</f>
        <v>0</v>
      </c>
      <c r="E46" s="59"/>
      <c r="F46" s="58">
        <v>4.1666666666666664E-2</v>
      </c>
      <c r="G46" s="59"/>
      <c r="H46" s="58">
        <f>SUMIFS(' Journal de Bord'!$D$4:$D$9266,' Journal de Bord'!$B$4:$B$9266,H$5,' Journal de Bord'!$C$4:$C$9266,$B45)</f>
        <v>0</v>
      </c>
      <c r="I46" s="60"/>
      <c r="J46" s="58">
        <f>SUMIFS(' Journal de Bord'!$D$4:$D$9266,' Journal de Bord'!$B$4:$B$9266,J$5,' Journal de Bord'!$C$4:$C$9266,$B45)</f>
        <v>0</v>
      </c>
      <c r="K46" s="60"/>
      <c r="L46" s="58">
        <f>SUMIFS(' Journal de Bord'!$D$4:$D$9266,' Journal de Bord'!$B$4:$B$9266,L$5,' Journal de Bord'!$C$4:$C$9266,$B45)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Bord'!$D$4:$D$9266,' Journal de Bord'!$B$4:$B$9266,D$5,' Journal de Bord'!$C$4:$C$9266,$B47)</f>
        <v>0</v>
      </c>
      <c r="E48" s="59"/>
      <c r="F48" s="58">
        <v>0.34722222222222227</v>
      </c>
      <c r="G48" s="59"/>
      <c r="H48" s="58">
        <f>SUMIFS(' Journal de Bord'!$D$4:$D$9266,' Journal de Bord'!$B$4:$B$9266,H$5,' Journal de Bord'!$C$4:$C$9266,$B47)</f>
        <v>0</v>
      </c>
      <c r="I48" s="60"/>
      <c r="J48" s="58">
        <f>SUMIFS(' Journal de Bord'!$D$4:$D$9266,' Journal de Bord'!$B$4:$B$9266,J$5,' Journal de Bord'!$C$4:$C$9266,$B47)</f>
        <v>0</v>
      </c>
      <c r="K48" s="60"/>
      <c r="L48" s="58">
        <f>SUMIFS(' Journal de Bord'!$D$4:$D$9266,' Journal de Bord'!$B$4:$B$9266,L$5,' Journal de Bord'!$C$4:$C$9266,$B47)</f>
        <v>0</v>
      </c>
      <c r="M48" s="59"/>
      <c r="N48" s="61">
        <f t="shared" si="4"/>
        <v>0.34722222222222227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Bord'!$D$4:$D$9266,' Journal de Bord'!$B$4:$B$9266,D$5,' Journal de Bord'!$C$4:$C$9266,$B49)</f>
        <v>0</v>
      </c>
      <c r="E50" s="59"/>
      <c r="F50" s="58">
        <f>SUMIFS(' Journal de Bord'!$D$4:$D$9266,' Journal de Bord'!$B$4:$B$9266,F$5,' Journal de Bord'!$C$4:$C$9266,$B49)</f>
        <v>0</v>
      </c>
      <c r="G50" s="59"/>
      <c r="H50" s="58">
        <f>SUMIFS(' Journal de Bord'!$D$4:$D$9266,' Journal de Bord'!$B$4:$B$9266,H$5,' Journal de Bord'!$C$4:$C$9266,$B49)</f>
        <v>0</v>
      </c>
      <c r="I50" s="60"/>
      <c r="J50" s="58">
        <f>SUMIFS(' Journal de Bord'!$D$4:$D$9266,' Journal de Bord'!$B$4:$B$9266,J$5,' Journal de Bord'!$C$4:$C$9266,$B49)</f>
        <v>0</v>
      </c>
      <c r="K50" s="60"/>
      <c r="L50" s="58">
        <f>SUMIFS(' Journal de Bord'!$D$4:$D$9266,' Journal de Bord'!$B$4:$B$9266,L$5,' Journal de Bord'!$C$4:$C$9266,$B49)</f>
        <v>0</v>
      </c>
      <c r="M50" s="59"/>
      <c r="N50" s="61" t="str">
        <f t="shared" si="4"/>
        <v/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Bord'!$D$4:$D$9266,' Journal de Bord'!$B$4:$B$9266,D$5,' Journal de Bord'!$C$4:$C$9266,$B51)</f>
        <v>0</v>
      </c>
      <c r="E52" s="59"/>
      <c r="F52" s="58">
        <f>SUMIFS(' Journal de Bord'!$D$4:$D$9266,' Journal de Bord'!$B$4:$B$9266,F$5,' Journal de Bord'!$C$4:$C$9266,$B51)</f>
        <v>0</v>
      </c>
      <c r="G52" s="59"/>
      <c r="H52" s="58">
        <f>SUMIFS(' Journal de Bord'!$D$4:$D$9266,' Journal de Bord'!$B$4:$B$9266,H$5,' Journal de Bord'!$C$4:$C$9266,$B51)</f>
        <v>0</v>
      </c>
      <c r="I52" s="60"/>
      <c r="J52" s="58">
        <f>SUMIFS(' Journal de Bord'!$D$4:$D$9266,' Journal de Bord'!$B$4:$B$9266,J$5,' Journal de Bord'!$C$4:$C$9266,$B51)</f>
        <v>0</v>
      </c>
      <c r="K52" s="60"/>
      <c r="L52" s="58">
        <f>SUMIFS(' Journal de Bord'!$D$4:$D$9266,' Journal de Bord'!$B$4:$B$9266,L$5,' Journal de Bord'!$C$4:$C$9266,$B51)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Bord'!$D$4:$D$9266,' Journal de Bord'!$B$4:$B$9266,D$5,' Journal de Bord'!$C$4:$C$9266,$B53)</f>
        <v>0</v>
      </c>
      <c r="E54" s="59"/>
      <c r="F54" s="58">
        <f>SUMIFS(' Journal de Bord'!$D$4:$D$9266,' Journal de Bord'!$B$4:$B$9266,F$5,' Journal de Bord'!$C$4:$C$9266,$B53)</f>
        <v>0</v>
      </c>
      <c r="G54" s="59"/>
      <c r="H54" s="58">
        <f>SUMIFS(' Journal de Bord'!$D$4:$D$9266,' Journal de Bord'!$B$4:$B$9266,H$5,' Journal de Bord'!$C$4:$C$9266,$B53)</f>
        <v>0</v>
      </c>
      <c r="I54" s="60"/>
      <c r="J54" s="58">
        <f>SUMIFS(' Journal de Bord'!$D$4:$D$9266,' Journal de Bord'!$B$4:$B$9266,J$5,' Journal de Bord'!$C$4:$C$9266,$B53)</f>
        <v>0</v>
      </c>
      <c r="K54" s="60"/>
      <c r="L54" s="58">
        <f>SUMIFS(' Journal de Bord'!$D$4:$D$9266,' Journal de Bord'!$B$4:$B$9266,L$5,' Journal de Bord'!$C$4:$C$9266,$B53)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f>SUMIFS(' Journal de Bord'!$D$4:$D$9266,' Journal de Bord'!$B$4:$B$9266,H$5,' Journal de Bord'!$C$4:$C$9266,$B55)</f>
        <v>0</v>
      </c>
      <c r="I56" s="60"/>
      <c r="J56" s="58">
        <f>SUMIFS(' Journal de Bord'!$D$4:$D$9266,' Journal de Bord'!$B$4:$B$9266,J$5,' Journal de Bord'!$C$4:$C$9266,$B55)</f>
        <v>0</v>
      </c>
      <c r="K56" s="60"/>
      <c r="L56" s="58">
        <f>SUMIFS(' Journal de Bord'!$D$4:$D$9266,' Journal de Bord'!$B$4:$B$9266,L$5,' Journal de Bord'!$C$4:$C$9266,$B55)</f>
        <v>0</v>
      </c>
      <c r="M56" s="59"/>
      <c r="N56" s="61">
        <f t="shared" si="4"/>
        <v>2.0833333333333332E-2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Bord'!$D$4:$D$9266,' Journal de Bord'!$B$4:$B$9266,D$5,' Journal de Bord'!$C$4:$C$9266,$B57)</f>
        <v>0</v>
      </c>
      <c r="E58" s="59"/>
      <c r="F58" s="58">
        <f>SUMIFS(' Journal de Bord'!$D$4:$D$9266,' Journal de Bord'!$B$4:$B$9266,F$5,' Journal de Bord'!$C$4:$C$9266,$B57)</f>
        <v>0</v>
      </c>
      <c r="G58" s="59"/>
      <c r="H58" s="58">
        <f>SUMIFS(' Journal de Bord'!$D$4:$D$9266,' Journal de Bord'!$B$4:$B$9266,H$5,' Journal de Bord'!$C$4:$C$9266,$B57)</f>
        <v>0</v>
      </c>
      <c r="I58" s="60"/>
      <c r="J58" s="58">
        <f>SUMIFS(' Journal de Bord'!$D$4:$D$9266,' Journal de Bord'!$B$4:$B$9266,J$5,' Journal de Bord'!$C$4:$C$9266,$B57)</f>
        <v>0</v>
      </c>
      <c r="K58" s="60"/>
      <c r="L58" s="58">
        <f>SUMIFS(' Journal de Bord'!$D$4:$D$9266,' Journal de Bord'!$B$4:$B$9266,L$5,' Journal de Bord'!$C$4:$C$9266,$B57)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6.25E-2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Bord'!$D$4:$D$9266,' Journal de Bord'!$B$4:$B$9266,H$5,' Journal de Bord'!$C$4:$C$9266,$B61)</f>
        <v>0</v>
      </c>
      <c r="I62" s="60"/>
      <c r="J62" s="58">
        <f>SUMIFS(' Journal de Bord'!$D$4:$D$9266,' Journal de Bord'!$B$4:$B$9266,J$5,' Journal de Bord'!$C$4:$C$9266,$B61)</f>
        <v>0</v>
      </c>
      <c r="K62" s="60"/>
      <c r="L62" s="58">
        <f>SUMIFS(' Journal de Bord'!$D$4:$D$9266,' Journal de Bord'!$B$4:$B$9266,L$5,' Journal de Bord'!$C$4:$C$9266,$B61)</f>
        <v>0</v>
      </c>
      <c r="M62" s="59"/>
      <c r="N62" s="61">
        <f t="shared" si="5"/>
        <v>4.1666666666666664E-2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Bord'!$D$4:$D$9266,' Journal de Bord'!$B$4:$B$9266,D$5,' Journal de Bord'!$C$4:$C$9266,$B63)</f>
        <v>0</v>
      </c>
      <c r="E64" s="59"/>
      <c r="F64" s="58">
        <f>SUMIFS(' Journal de Bord'!$D$4:$D$9266,' Journal de Bord'!$B$4:$B$9266,F$5,' Journal de Bord'!$C$4:$C$9266,$B63)</f>
        <v>0</v>
      </c>
      <c r="G64" s="59"/>
      <c r="H64" s="58">
        <f>SUMIFS(' Journal de Bord'!$D$4:$D$9266,' Journal de Bord'!$B$4:$B$9266,H$5,' Journal de Bord'!$C$4:$C$9266,$B63)</f>
        <v>0</v>
      </c>
      <c r="I64" s="60"/>
      <c r="J64" s="58">
        <f>SUMIFS(' Journal de Bord'!$D$4:$D$9266,' Journal de Bord'!$B$4:$B$9266,J$5,' Journal de Bord'!$C$4:$C$9266,$B63)</f>
        <v>0</v>
      </c>
      <c r="K64" s="60"/>
      <c r="L64" s="58">
        <f>SUMIFS(' Journal de Bord'!$D$4:$D$9266,' Journal de Bord'!$B$4:$B$9266,L$5,' Journal de Bord'!$C$4:$C$9266,$B63)</f>
        <v>0</v>
      </c>
      <c r="M64" s="59"/>
      <c r="N64" s="61" t="str">
        <f t="shared" si="5"/>
        <v/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Bord'!$D$4:$D$9266,' Journal de Bord'!$B$4:$B$9266,D$5,' Journal de Bord'!$C$4:$C$9266,$B65)</f>
        <v>0</v>
      </c>
      <c r="E66" s="59"/>
      <c r="F66" s="58">
        <f>SUMIFS(' Journal de Bord'!$D$4:$D$9266,' Journal de Bord'!$B$4:$B$9266,F$5,' Journal de Bord'!$C$4:$C$9266,$B65)</f>
        <v>0</v>
      </c>
      <c r="G66" s="59"/>
      <c r="H66" s="58">
        <f>SUMIFS(' Journal de Bord'!$D$4:$D$9266,' Journal de Bord'!$B$4:$B$9266,H$5,' Journal de Bord'!$C$4:$C$9266,$B65)</f>
        <v>0</v>
      </c>
      <c r="I66" s="60"/>
      <c r="J66" s="58">
        <f>SUMIFS(' Journal de Bord'!$D$4:$D$9266,' Journal de Bord'!$B$4:$B$9266,J$5,' Journal de Bord'!$C$4:$C$9266,$B65)</f>
        <v>0</v>
      </c>
      <c r="K66" s="60"/>
      <c r="L66" s="58">
        <f>SUMIFS(' Journal de Bord'!$D$4:$D$9266,' Journal de Bord'!$B$4:$B$9266,L$5,' Journal de Bord'!$C$4:$C$9266,$B65)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Bord'!$D$4:$D$9266,' Journal de Bord'!$B$4:$B$9266,D$5,' Journal de Bord'!$C$4:$C$9266,$B67)</f>
        <v>0</v>
      </c>
      <c r="E68" s="59"/>
      <c r="F68" s="58">
        <v>2.0833333333333332E-2</v>
      </c>
      <c r="G68" s="59"/>
      <c r="H68" s="58">
        <f>SUMIFS(' Journal de Bord'!$D$4:$D$9266,' Journal de Bord'!$B$4:$B$9266,H$5,' Journal de Bord'!$C$4:$C$9266,$B67)</f>
        <v>0</v>
      </c>
      <c r="I68" s="60"/>
      <c r="J68" s="58">
        <f>SUMIFS(' Journal de Bord'!$D$4:$D$9266,' Journal de Bord'!$B$4:$B$9266,J$5,' Journal de Bord'!$C$4:$C$9266,$B67)</f>
        <v>0</v>
      </c>
      <c r="K68" s="60"/>
      <c r="L68" s="58">
        <f>SUMIFS(' Journal de Bord'!$D$4:$D$9266,' Journal de Bord'!$B$4:$B$9266,L$5,' Journal de Bord'!$C$4:$C$9266,$B67)</f>
        <v>0</v>
      </c>
      <c r="M68" s="59"/>
      <c r="N68" s="61">
        <f t="shared" si="5"/>
        <v>2.0833333333333332E-2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Bord'!$D$4:$D$9266,' Journal de Bord'!$B$4:$B$9266,D$5,' Journal de Bord'!$C$4:$C$9266,$B69)</f>
        <v>0</v>
      </c>
      <c r="E70" s="59"/>
      <c r="F70" s="58">
        <f>SUMIFS(' Journal de Bord'!$D$4:$D$9266,' Journal de Bord'!$B$4:$B$9266,F$5,' Journal de Bord'!$C$4:$C$9266,$B69)</f>
        <v>0</v>
      </c>
      <c r="G70" s="59"/>
      <c r="H70" s="58">
        <f>SUMIFS(' Journal de Bord'!$D$4:$D$9266,' Journal de Bord'!$B$4:$B$9266,H$5,' Journal de Bord'!$C$4:$C$9266,$B69)</f>
        <v>0</v>
      </c>
      <c r="I70" s="60"/>
      <c r="J70" s="58">
        <f>SUMIFS(' Journal de Bord'!$D$4:$D$9266,' Journal de Bord'!$B$4:$B$9266,J$5,' Journal de Bord'!$C$4:$C$9266,$B69)</f>
        <v>0</v>
      </c>
      <c r="K70" s="60"/>
      <c r="L70" s="58">
        <f>SUMIFS(' Journal de Bord'!$D$4:$D$9266,' Journal de Bord'!$B$4:$B$9266,L$5,' Journal de Bord'!$C$4:$C$9266,$B69)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Bord'!$D$4:$D$9266,' Journal de Bord'!$B$4:$B$9266,D$5,' Journal de Bord'!$C$4:$C$9266,$B71)</f>
        <v>0</v>
      </c>
      <c r="E72" s="59"/>
      <c r="F72" s="58">
        <f>SUMIFS(' Journal de Bord'!$D$4:$D$9266,' Journal de Bord'!$B$4:$B$9266,F$5,' Journal de Bord'!$C$4:$C$9266,$B71)</f>
        <v>0</v>
      </c>
      <c r="G72" s="59"/>
      <c r="H72" s="58">
        <f>SUMIFS(' Journal de Bord'!$D$4:$D$9266,' Journal de Bord'!$B$4:$B$9266,H$5,' Journal de Bord'!$C$4:$C$9266,$B71)</f>
        <v>0</v>
      </c>
      <c r="I72" s="60"/>
      <c r="J72" s="58">
        <f>SUMIFS(' Journal de Bord'!$D$4:$D$9266,' Journal de Bord'!$B$4:$B$9266,J$5,' Journal de Bord'!$C$4:$C$9266,$B71)</f>
        <v>0</v>
      </c>
      <c r="K72" s="60"/>
      <c r="L72" s="58">
        <f>SUMIFS(' Journal de Bord'!$D$4:$D$9266,' Journal de Bord'!$B$4:$B$9266,L$5,' Journal de Bord'!$C$4:$C$9266,$B71)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0.2986111111111111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f>SUMIFS(' Journal de Bord'!$D$4:$D$9266,' Journal de Bord'!$B$4:$B$9266,H$5,' Journal de Bord'!$C$4:$C$9266,$B75)</f>
        <v>0</v>
      </c>
      <c r="I76" s="60"/>
      <c r="J76" s="58">
        <f>SUMIFS(' Journal de Bord'!$D$4:$D$9266,' Journal de Bord'!$B$4:$B$9266,J$5,' Journal de Bord'!$C$4:$C$9266,$B75)</f>
        <v>0</v>
      </c>
      <c r="K76" s="60"/>
      <c r="L76" s="58">
        <f>SUMIFS(' Journal de Bord'!$D$4:$D$9266,' Journal de Bord'!$B$4:$B$9266,L$5,' Journal de Bord'!$C$4:$C$9266,$B75)</f>
        <v>0</v>
      </c>
      <c r="M76" s="59"/>
      <c r="N76" s="61">
        <f>IF(SUM(D76:M76)=0,"",SUM(D76:M76))</f>
        <v>4.1666666666666664E-2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f>SUMIFS(' Journal de Bord'!$D$4:$D$9266,' Journal de Bord'!$B$4:$B$9266,H$5,' Journal de Bord'!$C$4:$C$9266,$B77)</f>
        <v>0</v>
      </c>
      <c r="I78" s="60"/>
      <c r="J78" s="58">
        <f>SUMIFS(' Journal de Bord'!$D$4:$D$9266,' Journal de Bord'!$B$4:$B$9266,J$5,' Journal de Bord'!$C$4:$C$9266,$B77)</f>
        <v>0</v>
      </c>
      <c r="K78" s="60"/>
      <c r="L78" s="58">
        <f>SUMIFS(' Journal de Bord'!$D$4:$D$9266,' Journal de Bord'!$B$4:$B$9266,L$5,' Journal de Bord'!$C$4:$C$9266,$B77)</f>
        <v>0</v>
      </c>
      <c r="M78" s="59"/>
      <c r="N78" s="61">
        <f t="shared" ref="N78:N88" si="6">IF(SUM(D78:M78)=0,"",SUM(D78:M78))</f>
        <v>0.25694444444444442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Bord'!$D$4:$D$9266,' Journal de Bord'!$B$4:$B$9266,D$5,' Journal de Bord'!$C$4:$C$9266,$B79)</f>
        <v>0</v>
      </c>
      <c r="E80" s="59"/>
      <c r="F80" s="58">
        <f>SUMIFS(' Journal de Bord'!$D$4:$D$9266,' Journal de Bord'!$B$4:$B$9266,F$5,' Journal de Bord'!$C$4:$C$9266,$B79)</f>
        <v>0</v>
      </c>
      <c r="G80" s="59"/>
      <c r="H80" s="58">
        <f>SUMIFS(' Journal de Bord'!$D$4:$D$9266,' Journal de Bord'!$B$4:$B$9266,H$5,' Journal de Bord'!$C$4:$C$9266,$B79)</f>
        <v>0</v>
      </c>
      <c r="I80" s="60"/>
      <c r="J80" s="58">
        <f>SUMIFS(' Journal de Bord'!$D$4:$D$9266,' Journal de Bord'!$B$4:$B$9266,J$5,' Journal de Bord'!$C$4:$C$9266,$B79)</f>
        <v>0</v>
      </c>
      <c r="K80" s="60"/>
      <c r="L80" s="58">
        <f>SUMIFS(' Journal de Bord'!$D$4:$D$9266,' Journal de Bord'!$B$4:$B$9266,L$5,' Journal de Bord'!$C$4:$C$9266,$B79)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Bord'!$D$4:$D$9266,' Journal de Bord'!$B$4:$B$9266,D$5,' Journal de Bord'!$C$4:$C$9266,$B81)</f>
        <v>0</v>
      </c>
      <c r="E82" s="59"/>
      <c r="F82" s="58">
        <f>SUMIFS(' Journal de Bord'!$D$4:$D$9266,' Journal de Bord'!$B$4:$B$9266,F$5,' Journal de Bord'!$C$4:$C$9266,$B81)</f>
        <v>0</v>
      </c>
      <c r="G82" s="59"/>
      <c r="H82" s="58">
        <f>SUMIFS(' Journal de Bord'!$D$4:$D$9266,' Journal de Bord'!$B$4:$B$9266,H$5,' Journal de Bord'!$C$4:$C$9266,$B81)</f>
        <v>0</v>
      </c>
      <c r="I82" s="60"/>
      <c r="J82" s="58">
        <f>SUMIFS(' Journal de Bord'!$D$4:$D$9266,' Journal de Bord'!$B$4:$B$9266,J$5,' Journal de Bord'!$C$4:$C$9266,$B81)</f>
        <v>0</v>
      </c>
      <c r="K82" s="60"/>
      <c r="L82" s="58">
        <f>SUMIFS(' Journal de Bord'!$D$4:$D$9266,' Journal de Bord'!$B$4:$B$9266,L$5,' Journal de Bord'!$C$4:$C$9266,$B81)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Bord'!$D$4:$D$9266,' Journal de Bord'!$B$4:$B$9266,D$5,' Journal de Bord'!$C$4:$C$9266,$B83)</f>
        <v>0</v>
      </c>
      <c r="E84" s="59"/>
      <c r="F84" s="58">
        <f>SUMIFS(' Journal de Bord'!$D$4:$D$9266,' Journal de Bord'!$B$4:$B$9266,F$5,' Journal de Bord'!$C$4:$C$9266,$B83)</f>
        <v>0</v>
      </c>
      <c r="G84" s="59"/>
      <c r="H84" s="58">
        <f>SUMIFS(' Journal de Bord'!$D$4:$D$9266,' Journal de Bord'!$B$4:$B$9266,H$5,' Journal de Bord'!$C$4:$C$9266,$B83)</f>
        <v>0</v>
      </c>
      <c r="I84" s="60"/>
      <c r="J84" s="58">
        <f>SUMIFS(' Journal de Bord'!$D$4:$D$9266,' Journal de Bord'!$B$4:$B$9266,J$5,' Journal de Bord'!$C$4:$C$9266,$B83)</f>
        <v>0</v>
      </c>
      <c r="K84" s="60"/>
      <c r="L84" s="58">
        <f>SUMIFS(' Journal de Bord'!$D$4:$D$9266,' Journal de Bord'!$B$4:$B$9266,L$5,' Journal de Bord'!$C$4:$C$9266,$B83)</f>
        <v>0</v>
      </c>
      <c r="M84" s="59"/>
      <c r="N84" s="61" t="str">
        <f t="shared" si="6"/>
        <v/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Bord'!$D$4:$D$9266,' Journal de Bord'!$B$4:$B$9266,D$5,' Journal de Bord'!$C$4:$C$9266,$B87)</f>
        <v>0</v>
      </c>
      <c r="E88" s="59"/>
      <c r="F88" s="58">
        <f>SUMIFS(' Journal de Bord'!$D$4:$D$9266,' Journal de Bord'!$B$4:$B$9266,F$5,' Journal de Bord'!$C$4:$C$9266,$B87)</f>
        <v>0</v>
      </c>
      <c r="G88" s="59"/>
      <c r="H88" s="58">
        <f>SUMIFS(' Journal de Bord'!$D$4:$D$9266,' Journal de Bord'!$B$4:$B$9266,H$5,' Journal de Bord'!$C$4:$C$9266,$B87)</f>
        <v>0</v>
      </c>
      <c r="I88" s="60"/>
      <c r="J88" s="58">
        <f>SUMIFS(' Journal de Bord'!$D$4:$D$9266,' Journal de Bord'!$B$4:$B$9266,J$5,' Journal de Bord'!$C$4:$C$9266,$B87)</f>
        <v>0</v>
      </c>
      <c r="K88" s="60"/>
      <c r="L88" s="58">
        <f>SUMIFS(' Journal de Bord'!$D$4:$D$9266,' Journal de Bord'!$B$4:$B$9266,L$5,' Journal de Bord'!$C$4:$C$9266,$B87)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60"/>
  <sheetViews>
    <sheetView workbookViewId="0">
      <pane ySplit="3" topLeftCell="A45" activePane="bottomLeft" state="frozen"/>
      <selection pane="bottomLeft" activeCell="B62" sqref="B62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45057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68</v>
      </c>
    </row>
    <row r="5" spans="1:5" x14ac:dyDescent="0.25">
      <c r="A5" s="87">
        <v>45048</v>
      </c>
      <c r="B5" s="100">
        <v>1</v>
      </c>
      <c r="C5" s="7" t="s">
        <v>18</v>
      </c>
      <c r="D5" s="91">
        <v>0.16666666666666666</v>
      </c>
      <c r="E5" s="89"/>
    </row>
    <row r="6" spans="1:5" x14ac:dyDescent="0.25">
      <c r="A6" s="87">
        <v>45048</v>
      </c>
      <c r="B6" s="100">
        <v>1</v>
      </c>
      <c r="C6" s="7" t="s">
        <v>47</v>
      </c>
      <c r="D6" s="91">
        <v>8.3333333333333329E-2</v>
      </c>
      <c r="E6" s="89"/>
    </row>
    <row r="7" spans="1:5" x14ac:dyDescent="0.25">
      <c r="A7" s="87">
        <v>45048</v>
      </c>
      <c r="B7" s="100">
        <v>1</v>
      </c>
      <c r="C7" s="7" t="s">
        <v>66</v>
      </c>
      <c r="D7" s="91">
        <v>1.3888888888888888E-2</v>
      </c>
      <c r="E7" s="89"/>
    </row>
    <row r="8" spans="1:5" x14ac:dyDescent="0.25">
      <c r="A8" s="87"/>
      <c r="B8" s="100"/>
      <c r="C8" s="7" t="s">
        <v>25</v>
      </c>
      <c r="D8" s="91">
        <v>6.9444444444444441E-3</v>
      </c>
      <c r="E8" s="89"/>
    </row>
    <row r="9" spans="1:5" x14ac:dyDescent="0.25">
      <c r="A9" s="87">
        <v>45048</v>
      </c>
      <c r="B9" s="100">
        <v>1</v>
      </c>
      <c r="C9" s="7" t="s">
        <v>28</v>
      </c>
      <c r="D9" s="91">
        <v>1.0416666666666666E-2</v>
      </c>
      <c r="E9" s="89"/>
    </row>
    <row r="10" spans="1:5" x14ac:dyDescent="0.25">
      <c r="A10" s="87">
        <v>45049</v>
      </c>
      <c r="B10" s="100">
        <v>1</v>
      </c>
      <c r="C10" s="7" t="s">
        <v>42</v>
      </c>
      <c r="D10" s="91">
        <v>6.25E-2</v>
      </c>
      <c r="E10" s="89"/>
    </row>
    <row r="11" spans="1:5" x14ac:dyDescent="0.25">
      <c r="A11" s="87">
        <v>45049</v>
      </c>
      <c r="B11" s="100">
        <v>1</v>
      </c>
      <c r="C11" s="7" t="s">
        <v>44</v>
      </c>
      <c r="D11" s="91">
        <v>6.25E-2</v>
      </c>
      <c r="E11" s="89"/>
    </row>
    <row r="12" spans="1:5" x14ac:dyDescent="0.25">
      <c r="A12" s="87">
        <v>45049</v>
      </c>
      <c r="B12" s="100">
        <v>1</v>
      </c>
      <c r="C12" s="7" t="s">
        <v>25</v>
      </c>
      <c r="D12" s="91">
        <v>1.3888888888888888E-2</v>
      </c>
      <c r="E12" s="89"/>
    </row>
    <row r="13" spans="1:5" x14ac:dyDescent="0.25">
      <c r="A13" s="87">
        <v>45049</v>
      </c>
      <c r="B13" s="100">
        <v>1</v>
      </c>
      <c r="C13" s="7" t="s">
        <v>43</v>
      </c>
      <c r="D13" s="91">
        <v>1.3888888888888888E-2</v>
      </c>
      <c r="E13" s="89"/>
    </row>
    <row r="14" spans="1:5" x14ac:dyDescent="0.25">
      <c r="A14" s="87">
        <v>45049</v>
      </c>
      <c r="B14" s="100">
        <v>1</v>
      </c>
      <c r="C14" s="7" t="s">
        <v>41</v>
      </c>
      <c r="D14" s="91">
        <v>3.472222222222222E-3</v>
      </c>
      <c r="E14" s="89"/>
    </row>
    <row r="15" spans="1:5" x14ac:dyDescent="0.25">
      <c r="A15" s="87">
        <v>45050</v>
      </c>
      <c r="B15" s="100">
        <v>1</v>
      </c>
      <c r="C15" s="7" t="s">
        <v>19</v>
      </c>
      <c r="D15" s="91">
        <v>6.25E-2</v>
      </c>
      <c r="E15" s="89"/>
    </row>
    <row r="16" spans="1:5" x14ac:dyDescent="0.25">
      <c r="A16" s="87">
        <v>45050</v>
      </c>
      <c r="B16" s="100">
        <v>1</v>
      </c>
      <c r="C16" s="7" t="s">
        <v>45</v>
      </c>
      <c r="D16" s="91">
        <v>3.4722222222222224E-2</v>
      </c>
      <c r="E16" s="89"/>
    </row>
    <row r="17" spans="1:5" x14ac:dyDescent="0.25">
      <c r="A17" s="87">
        <v>45050</v>
      </c>
      <c r="B17" s="100">
        <v>1</v>
      </c>
      <c r="C17" s="7" t="s">
        <v>46</v>
      </c>
      <c r="D17" s="91">
        <v>1.3888888888888888E-2</v>
      </c>
      <c r="E17" s="89"/>
    </row>
    <row r="18" spans="1:5" x14ac:dyDescent="0.25">
      <c r="A18" s="87">
        <v>45050</v>
      </c>
      <c r="B18" s="100">
        <v>1</v>
      </c>
      <c r="C18" s="7" t="s">
        <v>49</v>
      </c>
      <c r="D18" s="91">
        <v>6.9444444444444441E-3</v>
      </c>
      <c r="E18" s="89"/>
    </row>
    <row r="19" spans="1:5" s="107" customFormat="1" x14ac:dyDescent="0.25">
      <c r="A19" s="87">
        <v>45050</v>
      </c>
      <c r="B19" s="100">
        <v>1</v>
      </c>
      <c r="C19" s="108" t="s">
        <v>48</v>
      </c>
      <c r="D19" s="91">
        <v>3.4722222222222224E-2</v>
      </c>
      <c r="E19" s="106"/>
    </row>
    <row r="20" spans="1:5" x14ac:dyDescent="0.25">
      <c r="A20" s="87">
        <v>45050</v>
      </c>
      <c r="B20" s="100">
        <v>1</v>
      </c>
      <c r="C20" s="7" t="s">
        <v>50</v>
      </c>
      <c r="D20" s="91">
        <v>6.9444444444444441E-3</v>
      </c>
      <c r="E20" s="89"/>
    </row>
    <row r="21" spans="1:5" x14ac:dyDescent="0.25">
      <c r="A21" s="87">
        <v>45050</v>
      </c>
      <c r="B21" s="100">
        <v>1</v>
      </c>
      <c r="C21" s="7" t="s">
        <v>27</v>
      </c>
      <c r="D21" s="91">
        <v>2.0833333333333332E-2</v>
      </c>
      <c r="E21" s="89"/>
    </row>
    <row r="22" spans="1:5" x14ac:dyDescent="0.25">
      <c r="A22" s="87">
        <v>45050</v>
      </c>
      <c r="B22" s="100">
        <v>1</v>
      </c>
      <c r="C22" s="7" t="s">
        <v>60</v>
      </c>
      <c r="D22" s="91">
        <v>9.0277777777777776E-2</v>
      </c>
      <c r="E22" s="89"/>
    </row>
    <row r="23" spans="1:5" x14ac:dyDescent="0.25">
      <c r="A23" s="87">
        <v>45050</v>
      </c>
      <c r="B23" s="100">
        <v>1</v>
      </c>
      <c r="C23" s="7" t="s">
        <v>28</v>
      </c>
      <c r="D23" s="91">
        <v>1.0416666666666666E-2</v>
      </c>
      <c r="E23" s="89"/>
    </row>
    <row r="24" spans="1:5" x14ac:dyDescent="0.25">
      <c r="A24" s="87">
        <v>45054</v>
      </c>
      <c r="B24" s="100">
        <v>2</v>
      </c>
      <c r="C24" s="7" t="s">
        <v>42</v>
      </c>
      <c r="D24" s="91">
        <v>8.3333333333333329E-2</v>
      </c>
      <c r="E24" s="89"/>
    </row>
    <row r="25" spans="1:5" x14ac:dyDescent="0.25">
      <c r="A25" s="87">
        <v>45054</v>
      </c>
      <c r="B25" s="100">
        <v>2</v>
      </c>
      <c r="C25" s="7" t="s">
        <v>45</v>
      </c>
      <c r="D25" s="91">
        <v>0.10416666666666667</v>
      </c>
      <c r="E25" s="89"/>
    </row>
    <row r="26" spans="1:5" x14ac:dyDescent="0.25">
      <c r="A26" s="87">
        <v>45054</v>
      </c>
      <c r="B26" s="100">
        <v>2</v>
      </c>
      <c r="C26" s="7" t="s">
        <v>49</v>
      </c>
      <c r="D26" s="91">
        <v>1.3888888888888888E-2</v>
      </c>
      <c r="E26" s="89"/>
    </row>
    <row r="27" spans="1:5" x14ac:dyDescent="0.25">
      <c r="A27" s="87">
        <v>45054</v>
      </c>
      <c r="B27" s="100">
        <v>2</v>
      </c>
      <c r="C27" s="7" t="s">
        <v>46</v>
      </c>
      <c r="D27" s="91">
        <v>1.7361111111111112E-2</v>
      </c>
      <c r="E27" s="89"/>
    </row>
    <row r="28" spans="1:5" x14ac:dyDescent="0.25">
      <c r="A28" s="87">
        <v>45055</v>
      </c>
      <c r="B28" s="100">
        <v>2</v>
      </c>
      <c r="C28" s="7" t="s">
        <v>46</v>
      </c>
      <c r="D28" s="91">
        <v>3.8194444444444441E-2</v>
      </c>
      <c r="E28" s="89"/>
    </row>
    <row r="29" spans="1:5" x14ac:dyDescent="0.25">
      <c r="A29" s="87">
        <v>45055</v>
      </c>
      <c r="B29" s="100">
        <v>2</v>
      </c>
      <c r="C29" s="7" t="s">
        <v>51</v>
      </c>
      <c r="D29" s="91">
        <v>4.1666666666666664E-2</v>
      </c>
      <c r="E29" s="89"/>
    </row>
    <row r="30" spans="1:5" x14ac:dyDescent="0.25">
      <c r="A30" s="87">
        <v>45055</v>
      </c>
      <c r="B30" s="100">
        <v>2</v>
      </c>
      <c r="C30" s="7" t="s">
        <v>52</v>
      </c>
      <c r="D30" s="91">
        <v>4.1666666666666664E-2</v>
      </c>
      <c r="E30" s="89"/>
    </row>
    <row r="31" spans="1:5" x14ac:dyDescent="0.25">
      <c r="A31" s="87">
        <v>45055</v>
      </c>
      <c r="B31" s="100">
        <v>2</v>
      </c>
      <c r="C31" s="7" t="s">
        <v>59</v>
      </c>
      <c r="D31" s="91">
        <v>6.5972222222222224E-2</v>
      </c>
      <c r="E31" s="89"/>
    </row>
    <row r="32" spans="1:5" x14ac:dyDescent="0.25">
      <c r="A32" s="87">
        <v>45055</v>
      </c>
      <c r="B32" s="100">
        <v>2</v>
      </c>
      <c r="C32" s="7" t="s">
        <v>60</v>
      </c>
      <c r="D32" s="91">
        <v>8.3333333333333329E-2</v>
      </c>
      <c r="E32" s="89"/>
    </row>
    <row r="33" spans="1:10" x14ac:dyDescent="0.25">
      <c r="A33" s="87">
        <v>45055</v>
      </c>
      <c r="B33" s="100">
        <v>2</v>
      </c>
      <c r="C33" s="7" t="s">
        <v>28</v>
      </c>
      <c r="D33" s="91">
        <v>1.0416666666666666E-2</v>
      </c>
      <c r="E33" s="89"/>
    </row>
    <row r="34" spans="1:10" x14ac:dyDescent="0.25">
      <c r="A34" s="87">
        <v>45056</v>
      </c>
      <c r="B34" s="100">
        <v>2</v>
      </c>
      <c r="C34" s="7" t="s">
        <v>54</v>
      </c>
      <c r="D34" s="91">
        <v>0.15625</v>
      </c>
      <c r="E34" s="89"/>
    </row>
    <row r="35" spans="1:10" x14ac:dyDescent="0.25">
      <c r="A35" s="87">
        <v>45057</v>
      </c>
      <c r="B35" s="100">
        <v>2</v>
      </c>
      <c r="C35" s="7" t="s">
        <v>54</v>
      </c>
      <c r="D35" s="91">
        <v>0.19097222222222221</v>
      </c>
      <c r="E35" s="89"/>
    </row>
    <row r="36" spans="1:10" x14ac:dyDescent="0.25">
      <c r="A36" s="87">
        <v>45057</v>
      </c>
      <c r="B36" s="100">
        <v>2</v>
      </c>
      <c r="C36" s="7" t="s">
        <v>27</v>
      </c>
      <c r="D36" s="91">
        <v>2.0833333333333332E-2</v>
      </c>
      <c r="E36" s="89"/>
    </row>
    <row r="37" spans="1:10" x14ac:dyDescent="0.25">
      <c r="A37" s="87">
        <v>45057</v>
      </c>
      <c r="B37" s="100">
        <v>2</v>
      </c>
      <c r="C37" s="7" t="s">
        <v>57</v>
      </c>
      <c r="D37" s="91">
        <v>2.0833333333333332E-2</v>
      </c>
      <c r="E37" s="89"/>
    </row>
    <row r="38" spans="1:10" x14ac:dyDescent="0.25">
      <c r="A38" s="87">
        <v>45057</v>
      </c>
      <c r="B38" s="100">
        <v>2</v>
      </c>
      <c r="C38" s="7" t="s">
        <v>61</v>
      </c>
      <c r="D38" s="91">
        <v>2.0833333333333332E-2</v>
      </c>
      <c r="E38" s="89"/>
    </row>
    <row r="39" spans="1:10" x14ac:dyDescent="0.25">
      <c r="A39" s="87">
        <v>45057</v>
      </c>
      <c r="B39" s="100">
        <v>2</v>
      </c>
      <c r="C39" s="7" t="s">
        <v>60</v>
      </c>
      <c r="D39" s="91">
        <v>8.3333333333333329E-2</v>
      </c>
      <c r="E39" s="89"/>
    </row>
    <row r="40" spans="1:10" x14ac:dyDescent="0.25">
      <c r="A40" s="87">
        <v>45057</v>
      </c>
      <c r="B40" s="100">
        <v>2</v>
      </c>
      <c r="C40" s="7" t="s">
        <v>28</v>
      </c>
      <c r="D40" s="91">
        <v>1.0416666666666666E-2</v>
      </c>
      <c r="E40" s="89"/>
    </row>
    <row r="41" spans="1:10" x14ac:dyDescent="0.25">
      <c r="A41" s="87">
        <v>45061</v>
      </c>
      <c r="B41" s="100">
        <v>3</v>
      </c>
      <c r="C41" s="7"/>
      <c r="D41" s="91"/>
      <c r="E41" s="89"/>
    </row>
    <row r="42" spans="1:10" x14ac:dyDescent="0.25">
      <c r="A42" s="87">
        <v>45062</v>
      </c>
      <c r="B42" s="100">
        <v>3</v>
      </c>
      <c r="C42" s="7"/>
      <c r="D42" s="91"/>
      <c r="E42" s="89"/>
    </row>
    <row r="43" spans="1:10" x14ac:dyDescent="0.25">
      <c r="A43" s="87">
        <v>45063</v>
      </c>
      <c r="B43" s="100">
        <v>3</v>
      </c>
      <c r="C43" s="7"/>
      <c r="D43" s="91"/>
      <c r="E43" s="89"/>
    </row>
    <row r="44" spans="1:10" x14ac:dyDescent="0.25">
      <c r="A44" s="87">
        <v>45064</v>
      </c>
      <c r="B44" s="100">
        <v>3</v>
      </c>
      <c r="C44" s="7"/>
      <c r="D44" s="91"/>
      <c r="E44" s="89"/>
    </row>
    <row r="45" spans="1:10" ht="16.5" customHeight="1" x14ac:dyDescent="0.25">
      <c r="A45" s="87">
        <v>45065</v>
      </c>
      <c r="B45" s="100">
        <v>3</v>
      </c>
      <c r="C45" s="7"/>
      <c r="D45" s="91"/>
      <c r="E45" s="89"/>
      <c r="I45" t="s">
        <v>70</v>
      </c>
      <c r="J45" t="s">
        <v>77</v>
      </c>
    </row>
    <row r="46" spans="1:10" x14ac:dyDescent="0.25">
      <c r="A46" s="87">
        <v>45068</v>
      </c>
      <c r="B46" s="100">
        <v>4</v>
      </c>
      <c r="C46" s="7"/>
      <c r="D46" s="91"/>
      <c r="E46" s="89"/>
      <c r="I46" t="s">
        <v>71</v>
      </c>
      <c r="J46" t="s">
        <v>76</v>
      </c>
    </row>
    <row r="47" spans="1:10" x14ac:dyDescent="0.25">
      <c r="A47" s="87">
        <v>45069</v>
      </c>
      <c r="B47" s="100">
        <v>4</v>
      </c>
      <c r="C47" s="7"/>
      <c r="D47" s="91"/>
      <c r="E47" s="89"/>
      <c r="I47" t="s">
        <v>72</v>
      </c>
      <c r="J47" t="s">
        <v>75</v>
      </c>
    </row>
    <row r="48" spans="1:10" x14ac:dyDescent="0.25">
      <c r="A48" s="87">
        <v>45070</v>
      </c>
      <c r="B48" s="100">
        <v>4</v>
      </c>
      <c r="C48" s="7"/>
      <c r="D48" s="91"/>
      <c r="E48" s="89"/>
    </row>
    <row r="49" spans="1:10" x14ac:dyDescent="0.25">
      <c r="A49" s="87">
        <v>45071</v>
      </c>
      <c r="B49" s="100">
        <v>4</v>
      </c>
      <c r="C49" s="7"/>
      <c r="D49" s="91"/>
      <c r="E49" s="89"/>
      <c r="I49" t="s">
        <v>73</v>
      </c>
      <c r="J49" t="s">
        <v>74</v>
      </c>
    </row>
    <row r="50" spans="1:10" x14ac:dyDescent="0.25">
      <c r="A50" s="87">
        <v>45072</v>
      </c>
      <c r="B50" s="100">
        <v>4</v>
      </c>
      <c r="C50" s="8"/>
      <c r="D50" s="92"/>
      <c r="E50" s="90"/>
    </row>
    <row r="51" spans="1:10" x14ac:dyDescent="0.25">
      <c r="A51" s="87">
        <v>45075</v>
      </c>
      <c r="B51" s="101">
        <v>5</v>
      </c>
      <c r="C51" s="8"/>
      <c r="D51" s="92"/>
      <c r="E51" s="90"/>
    </row>
    <row r="52" spans="1:10" x14ac:dyDescent="0.25">
      <c r="A52" s="87">
        <v>45076</v>
      </c>
      <c r="B52" s="101">
        <v>5</v>
      </c>
      <c r="C52" s="8"/>
      <c r="D52" s="92"/>
      <c r="E52" s="90"/>
    </row>
    <row r="53" spans="1:10" x14ac:dyDescent="0.25">
      <c r="A53" s="87">
        <v>45077</v>
      </c>
      <c r="B53" s="101">
        <v>5</v>
      </c>
      <c r="C53" s="8"/>
      <c r="D53" s="92"/>
      <c r="E53" s="90"/>
    </row>
    <row r="54" spans="1:10" x14ac:dyDescent="0.25">
      <c r="A54" s="88"/>
      <c r="B54" s="101"/>
      <c r="C54" s="8"/>
      <c r="D54" s="92"/>
      <c r="E54" s="90"/>
    </row>
    <row r="55" spans="1:10" x14ac:dyDescent="0.25">
      <c r="A55" s="88"/>
      <c r="B55" s="101"/>
      <c r="C55" s="8"/>
      <c r="D55" s="92"/>
      <c r="E55" s="90"/>
    </row>
    <row r="56" spans="1:10" x14ac:dyDescent="0.25">
      <c r="A56" s="88"/>
      <c r="B56" s="101"/>
      <c r="C56" s="8"/>
      <c r="D56" s="92"/>
      <c r="E56" s="90"/>
    </row>
    <row r="57" spans="1:10" x14ac:dyDescent="0.25">
      <c r="A57" s="88"/>
      <c r="B57" s="101"/>
      <c r="C57" s="8"/>
      <c r="D57" s="92"/>
      <c r="E57" s="90"/>
    </row>
    <row r="58" spans="1:10" x14ac:dyDescent="0.25">
      <c r="A58" s="88"/>
      <c r="B58" s="101"/>
      <c r="C58" s="8"/>
      <c r="D58" s="92"/>
      <c r="E58" s="90"/>
    </row>
    <row r="59" spans="1:10" x14ac:dyDescent="0.25">
      <c r="A59" s="88"/>
      <c r="B59" s="101"/>
      <c r="C59" s="8"/>
      <c r="D59" s="92"/>
      <c r="E59" s="90"/>
    </row>
    <row r="60" spans="1:10" x14ac:dyDescent="0.25">
      <c r="A60" s="88"/>
      <c r="B60" s="101"/>
      <c r="C60" s="8"/>
      <c r="D60" s="92"/>
      <c r="E60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4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7"/>
  <sheetViews>
    <sheetView tabSelected="1" workbookViewId="0">
      <pane ySplit="3" topLeftCell="A12" activePane="bottomLeft" state="frozen"/>
      <selection pane="bottomLeft" activeCell="C33" sqref="C33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45057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78</v>
      </c>
    </row>
    <row r="5" spans="1:5" x14ac:dyDescent="0.25">
      <c r="A5" s="87">
        <v>45048</v>
      </c>
      <c r="B5" s="100">
        <v>1</v>
      </c>
      <c r="C5" s="7" t="s">
        <v>28</v>
      </c>
      <c r="D5" s="91"/>
      <c r="E5" s="89" t="s">
        <v>79</v>
      </c>
    </row>
    <row r="6" spans="1:5" x14ac:dyDescent="0.25">
      <c r="A6" s="87">
        <v>45049</v>
      </c>
      <c r="B6" s="100">
        <v>1</v>
      </c>
      <c r="C6" s="7" t="s">
        <v>25</v>
      </c>
      <c r="D6" s="91"/>
      <c r="E6" s="89" t="s">
        <v>80</v>
      </c>
    </row>
    <row r="7" spans="1:5" x14ac:dyDescent="0.25">
      <c r="A7" s="87">
        <v>45050</v>
      </c>
      <c r="B7" s="100">
        <v>1</v>
      </c>
      <c r="C7" s="7" t="s">
        <v>28</v>
      </c>
      <c r="D7" s="91"/>
      <c r="E7" s="89" t="s">
        <v>83</v>
      </c>
    </row>
    <row r="8" spans="1:5" ht="30" x14ac:dyDescent="0.25">
      <c r="A8" s="87">
        <v>45051</v>
      </c>
      <c r="B8" s="100">
        <v>1</v>
      </c>
      <c r="C8" s="7" t="s">
        <v>28</v>
      </c>
      <c r="D8" s="91"/>
      <c r="E8" s="89" t="s">
        <v>81</v>
      </c>
    </row>
    <row r="9" spans="1:5" ht="14.25" customHeight="1" x14ac:dyDescent="0.25">
      <c r="A9" s="87">
        <v>45054</v>
      </c>
      <c r="B9" s="100">
        <v>2</v>
      </c>
      <c r="C9" s="7" t="s">
        <v>60</v>
      </c>
      <c r="D9" s="91"/>
      <c r="E9" s="89" t="s">
        <v>82</v>
      </c>
    </row>
    <row r="10" spans="1:5" x14ac:dyDescent="0.25">
      <c r="A10" s="87">
        <v>45055</v>
      </c>
      <c r="B10" s="100">
        <v>2</v>
      </c>
      <c r="C10" s="7" t="s">
        <v>28</v>
      </c>
      <c r="D10" s="91"/>
      <c r="E10" s="89" t="s">
        <v>84</v>
      </c>
    </row>
    <row r="11" spans="1:5" ht="30" x14ac:dyDescent="0.25">
      <c r="A11" s="87">
        <v>45055</v>
      </c>
      <c r="B11" s="100">
        <v>2</v>
      </c>
      <c r="C11" s="7" t="s">
        <v>66</v>
      </c>
      <c r="D11" s="91"/>
      <c r="E11" s="89" t="s">
        <v>85</v>
      </c>
    </row>
    <row r="12" spans="1:5" x14ac:dyDescent="0.25">
      <c r="A12" s="87">
        <v>45057</v>
      </c>
      <c r="B12" s="100">
        <v>2</v>
      </c>
      <c r="C12" s="7" t="s">
        <v>28</v>
      </c>
      <c r="D12" s="91"/>
      <c r="E12" s="89" t="s">
        <v>86</v>
      </c>
    </row>
    <row r="13" spans="1:5" x14ac:dyDescent="0.25">
      <c r="A13" s="87">
        <v>45058</v>
      </c>
      <c r="B13" s="100">
        <v>2</v>
      </c>
      <c r="C13" s="7"/>
      <c r="D13" s="91"/>
      <c r="E13" s="89"/>
    </row>
    <row r="14" spans="1:5" x14ac:dyDescent="0.25">
      <c r="A14" s="87">
        <v>45061</v>
      </c>
      <c r="B14" s="100">
        <v>3</v>
      </c>
      <c r="C14" s="7"/>
      <c r="D14" s="91"/>
      <c r="E14" s="89"/>
    </row>
    <row r="15" spans="1:5" x14ac:dyDescent="0.25">
      <c r="A15" s="87">
        <v>45062</v>
      </c>
      <c r="B15" s="100">
        <v>3</v>
      </c>
      <c r="C15" s="7"/>
      <c r="D15" s="91"/>
      <c r="E15" s="89"/>
    </row>
    <row r="16" spans="1:5" x14ac:dyDescent="0.25">
      <c r="A16" s="87">
        <v>45063</v>
      </c>
      <c r="B16" s="100">
        <v>3</v>
      </c>
      <c r="C16" s="7"/>
      <c r="D16" s="91"/>
      <c r="E16" s="89"/>
    </row>
    <row r="17" spans="1:5" x14ac:dyDescent="0.25">
      <c r="A17" s="87">
        <v>45064</v>
      </c>
      <c r="B17" s="100">
        <v>3</v>
      </c>
      <c r="C17" s="7"/>
      <c r="D17" s="91"/>
      <c r="E17" s="89"/>
    </row>
    <row r="18" spans="1:5" ht="16.5" customHeight="1" x14ac:dyDescent="0.25">
      <c r="A18" s="87">
        <v>45065</v>
      </c>
      <c r="B18" s="100">
        <v>3</v>
      </c>
      <c r="C18" s="7"/>
      <c r="D18" s="91"/>
      <c r="E18" s="89"/>
    </row>
    <row r="19" spans="1:5" x14ac:dyDescent="0.25">
      <c r="A19" s="87">
        <v>45068</v>
      </c>
      <c r="B19" s="100">
        <v>4</v>
      </c>
      <c r="C19" s="7"/>
      <c r="D19" s="91"/>
      <c r="E19" s="89"/>
    </row>
    <row r="20" spans="1:5" x14ac:dyDescent="0.25">
      <c r="A20" s="87">
        <v>45069</v>
      </c>
      <c r="B20" s="100">
        <v>4</v>
      </c>
      <c r="C20" s="7"/>
      <c r="D20" s="91"/>
      <c r="E20" s="89"/>
    </row>
    <row r="21" spans="1:5" x14ac:dyDescent="0.25">
      <c r="A21" s="87">
        <v>45070</v>
      </c>
      <c r="B21" s="100">
        <v>4</v>
      </c>
      <c r="C21" s="7"/>
      <c r="D21" s="91"/>
      <c r="E21" s="89"/>
    </row>
    <row r="22" spans="1:5" x14ac:dyDescent="0.25">
      <c r="A22" s="87">
        <v>45071</v>
      </c>
      <c r="B22" s="100">
        <v>4</v>
      </c>
      <c r="C22" s="7"/>
      <c r="D22" s="91"/>
      <c r="E22" s="89"/>
    </row>
    <row r="23" spans="1:5" x14ac:dyDescent="0.25">
      <c r="A23" s="87">
        <v>45072</v>
      </c>
      <c r="B23" s="100">
        <v>4</v>
      </c>
      <c r="C23" s="8"/>
      <c r="D23" s="92"/>
      <c r="E23" s="90"/>
    </row>
    <row r="24" spans="1:5" x14ac:dyDescent="0.25">
      <c r="A24" s="87">
        <v>45075</v>
      </c>
      <c r="B24" s="101">
        <v>5</v>
      </c>
      <c r="C24" s="8"/>
      <c r="D24" s="92"/>
      <c r="E24" s="90"/>
    </row>
    <row r="25" spans="1:5" x14ac:dyDescent="0.25">
      <c r="A25" s="87">
        <v>45076</v>
      </c>
      <c r="B25" s="101">
        <v>5</v>
      </c>
      <c r="C25" s="8"/>
      <c r="D25" s="92"/>
      <c r="E25" s="90"/>
    </row>
    <row r="26" spans="1:5" x14ac:dyDescent="0.25">
      <c r="A26" s="87">
        <v>45077</v>
      </c>
      <c r="B26" s="101">
        <v>5</v>
      </c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2023-05-11T14:54:48Z</dcterms:modified>
</cp:coreProperties>
</file>