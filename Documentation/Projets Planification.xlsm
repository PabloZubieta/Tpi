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pi\Documentation\"/>
    </mc:Choice>
  </mc:AlternateContent>
  <bookViews>
    <workbookView xWindow="4605" yWindow="0" windowWidth="21195" windowHeight="15600" activeTab="2"/>
  </bookViews>
  <sheets>
    <sheet name="Base" sheetId="7" r:id="rId1"/>
    <sheet name="Planning" sheetId="1" r:id="rId2"/>
    <sheet name=" Journal de Travail" sheetId="8" r:id="rId3"/>
    <sheet name=" Journal de Bord" sheetId="6" r:id="rId4"/>
  </sheets>
  <definedNames>
    <definedName name="Print_Area" localSheetId="1">Planning!$A$1:$O$87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" i="1" l="1"/>
  <c r="B83" i="1"/>
  <c r="B45" i="1" l="1"/>
  <c r="E1" i="8"/>
  <c r="C1" i="8"/>
  <c r="B21" i="1"/>
  <c r="N25" i="1"/>
  <c r="N27" i="1"/>
  <c r="E8" i="1"/>
  <c r="G8" i="1"/>
  <c r="I8" i="1"/>
  <c r="K8" i="1"/>
  <c r="M8" i="1"/>
  <c r="E7" i="1"/>
  <c r="F7" i="1"/>
  <c r="G7" i="1"/>
  <c r="H7" i="1"/>
  <c r="I7" i="1"/>
  <c r="J7" i="1"/>
  <c r="K7" i="1"/>
  <c r="L7" i="1"/>
  <c r="D7" i="1"/>
  <c r="A2" i="1"/>
  <c r="H2" i="1" l="1"/>
  <c r="J2" i="1" s="1"/>
  <c r="L2" i="1" s="1"/>
  <c r="D2" i="1"/>
  <c r="N86" i="1" l="1"/>
  <c r="N85" i="1"/>
  <c r="C85" i="1"/>
  <c r="N87" i="1"/>
  <c r="C87" i="1"/>
  <c r="N11" i="1"/>
  <c r="B57" i="1"/>
  <c r="B55" i="1"/>
  <c r="N57" i="1"/>
  <c r="C57" i="1"/>
  <c r="N55" i="1"/>
  <c r="C55" i="1"/>
  <c r="B53" i="1"/>
  <c r="B51" i="1"/>
  <c r="B49" i="1"/>
  <c r="N53" i="1"/>
  <c r="C53" i="1"/>
  <c r="N51" i="1"/>
  <c r="C51" i="1"/>
  <c r="N49" i="1"/>
  <c r="C49" i="1"/>
  <c r="C50" i="1"/>
  <c r="C86" i="1" l="1"/>
  <c r="C56" i="1"/>
  <c r="C58" i="1"/>
  <c r="C88" i="1"/>
  <c r="C52" i="1"/>
  <c r="C54" i="1"/>
  <c r="B13" i="1" l="1"/>
  <c r="B61" i="1"/>
  <c r="N83" i="1" l="1"/>
  <c r="N15" i="1"/>
  <c r="N17" i="1"/>
  <c r="N19" i="1"/>
  <c r="N21" i="1"/>
  <c r="N13" i="1"/>
  <c r="A37" i="1"/>
  <c r="B15" i="1" l="1"/>
  <c r="N71" i="1" l="1"/>
  <c r="N81" i="1"/>
  <c r="N79" i="1"/>
  <c r="N77" i="1"/>
  <c r="N75" i="1"/>
  <c r="N69" i="1"/>
  <c r="N67" i="1"/>
  <c r="N65" i="1"/>
  <c r="N63" i="1"/>
  <c r="N61" i="1"/>
  <c r="N47" i="1"/>
  <c r="N45" i="1"/>
  <c r="N43" i="1"/>
  <c r="N41" i="1"/>
  <c r="N39" i="1"/>
  <c r="N35" i="1"/>
  <c r="N33" i="1"/>
  <c r="N31" i="1"/>
  <c r="N29" i="1"/>
  <c r="E1" i="6" l="1"/>
  <c r="B81" i="1" l="1"/>
  <c r="B79" i="1"/>
  <c r="B77" i="1"/>
  <c r="B75" i="1"/>
  <c r="B71" i="1"/>
  <c r="B69" i="1"/>
  <c r="B67" i="1"/>
  <c r="B65" i="1"/>
  <c r="B63" i="1"/>
  <c r="B47" i="1"/>
  <c r="B43" i="1"/>
  <c r="B41" i="1"/>
  <c r="B39" i="1"/>
  <c r="B35" i="1"/>
  <c r="B33" i="1"/>
  <c r="B31" i="1"/>
  <c r="B29" i="1"/>
  <c r="B27" i="1"/>
  <c r="B25" i="1"/>
  <c r="B19" i="1"/>
  <c r="B17" i="1"/>
  <c r="B11" i="1"/>
  <c r="A73" i="1"/>
  <c r="A59" i="1"/>
  <c r="A23" i="1"/>
  <c r="A9" i="1"/>
  <c r="B1" i="1"/>
  <c r="C81" i="1"/>
  <c r="C67" i="1"/>
  <c r="C47" i="1" l="1"/>
  <c r="C19" i="1"/>
  <c r="C21" i="1"/>
  <c r="C35" i="1"/>
  <c r="C83" i="1"/>
  <c r="C79" i="1"/>
  <c r="C77" i="1"/>
  <c r="C75" i="1"/>
  <c r="C1" i="6" l="1"/>
  <c r="C82" i="1" l="1"/>
  <c r="C12" i="1"/>
  <c r="C48" i="1"/>
  <c r="C68" i="1"/>
  <c r="C36" i="1"/>
  <c r="C20" i="1"/>
  <c r="C22" i="1"/>
  <c r="C78" i="1"/>
  <c r="C80" i="1"/>
  <c r="C76" i="1"/>
  <c r="C84" i="1"/>
  <c r="C72" i="1"/>
  <c r="C71" i="1"/>
  <c r="C70" i="1"/>
  <c r="C69" i="1"/>
  <c r="C66" i="1"/>
  <c r="C65" i="1"/>
  <c r="C64" i="1"/>
  <c r="C63" i="1"/>
  <c r="C62" i="1"/>
  <c r="C61" i="1"/>
  <c r="C46" i="1"/>
  <c r="C45" i="1"/>
  <c r="C44" i="1"/>
  <c r="C43" i="1"/>
  <c r="C42" i="1"/>
  <c r="C41" i="1"/>
  <c r="C40" i="1"/>
  <c r="C39" i="1"/>
  <c r="C34" i="1"/>
  <c r="C33" i="1"/>
  <c r="C32" i="1"/>
  <c r="C31" i="1"/>
  <c r="C30" i="1"/>
  <c r="C29" i="1"/>
  <c r="C28" i="1"/>
  <c r="C27" i="1"/>
  <c r="C26" i="1"/>
  <c r="C25" i="1"/>
  <c r="C18" i="1"/>
  <c r="C17" i="1"/>
  <c r="C16" i="1"/>
  <c r="C15" i="1"/>
  <c r="C14" i="1"/>
  <c r="C13" i="1"/>
  <c r="C11" i="1"/>
  <c r="N73" i="1" l="1"/>
  <c r="N9" i="1"/>
  <c r="N23" i="1"/>
  <c r="N37" i="1"/>
  <c r="N59" i="1"/>
  <c r="H18" i="1" l="1"/>
  <c r="J56" i="1"/>
  <c r="L88" i="1"/>
  <c r="J58" i="1"/>
  <c r="J88" i="1"/>
  <c r="H58" i="1"/>
  <c r="F88" i="1"/>
  <c r="D58" i="1"/>
  <c r="D88" i="1"/>
  <c r="H88" i="1"/>
  <c r="F58" i="1"/>
  <c r="L56" i="1"/>
  <c r="L58" i="1"/>
  <c r="H54" i="1"/>
  <c r="F52" i="1"/>
  <c r="L54" i="1"/>
  <c r="D54" i="1"/>
  <c r="H52" i="1"/>
  <c r="D52" i="1"/>
  <c r="F50" i="1"/>
  <c r="D50" i="1"/>
  <c r="L52" i="1"/>
  <c r="F54" i="1"/>
  <c r="J52" i="1"/>
  <c r="L50" i="1"/>
  <c r="F30" i="1"/>
  <c r="F80" i="1"/>
  <c r="F84" i="1"/>
  <c r="D84" i="1"/>
  <c r="F42" i="1"/>
  <c r="D46" i="1"/>
  <c r="D64" i="1"/>
  <c r="D72" i="1"/>
  <c r="D68" i="1"/>
  <c r="F20" i="1"/>
  <c r="F72" i="1"/>
  <c r="F70" i="1"/>
  <c r="F34" i="1"/>
  <c r="F64" i="1"/>
  <c r="D80" i="1"/>
  <c r="D44" i="1"/>
  <c r="F82" i="1"/>
  <c r="F18" i="1"/>
  <c r="D82" i="1"/>
  <c r="D70" i="1"/>
  <c r="F66" i="1"/>
  <c r="D48" i="1"/>
  <c r="D66" i="1"/>
  <c r="H82" i="1"/>
  <c r="H28" i="1"/>
  <c r="H36" i="1"/>
  <c r="H34" i="1"/>
  <c r="H32" i="1"/>
  <c r="H46" i="1"/>
  <c r="H20" i="1"/>
  <c r="H30" i="1"/>
  <c r="H16" i="1"/>
  <c r="H44" i="1"/>
  <c r="H42" i="1"/>
  <c r="H14" i="1"/>
  <c r="H72" i="1"/>
  <c r="H70" i="1"/>
  <c r="H80" i="1"/>
  <c r="H66" i="1"/>
  <c r="J16" i="1"/>
  <c r="J72" i="1"/>
  <c r="J82" i="1"/>
  <c r="J44" i="1"/>
  <c r="J36" i="1"/>
  <c r="J46" i="1"/>
  <c r="J70" i="1"/>
  <c r="J84" i="1"/>
  <c r="J22" i="1"/>
  <c r="J34" i="1"/>
  <c r="J80" i="1"/>
  <c r="J66" i="1"/>
  <c r="J30" i="1"/>
  <c r="J48" i="1"/>
  <c r="J32" i="1"/>
  <c r="J42" i="1"/>
  <c r="L14" i="1"/>
  <c r="L78" i="1"/>
  <c r="L68" i="1"/>
  <c r="L82" i="1"/>
  <c r="L72" i="1"/>
  <c r="L34" i="1"/>
  <c r="L20" i="1"/>
  <c r="L36" i="1"/>
  <c r="L44" i="1"/>
  <c r="L28" i="1"/>
  <c r="L70" i="1"/>
  <c r="L46" i="1"/>
  <c r="L48" i="1"/>
  <c r="L80" i="1"/>
  <c r="L22" i="1"/>
  <c r="L64" i="1"/>
  <c r="L32" i="1"/>
  <c r="L84" i="1"/>
  <c r="L66" i="1"/>
  <c r="J76" i="1"/>
  <c r="L76" i="1"/>
  <c r="H62" i="1"/>
  <c r="F40" i="1"/>
  <c r="L40" i="1"/>
  <c r="H26" i="1"/>
  <c r="H40" i="1"/>
  <c r="J62" i="1"/>
  <c r="L62" i="1"/>
  <c r="J12" i="1"/>
  <c r="J40" i="1"/>
  <c r="N26" i="1" l="1"/>
  <c r="L8" i="1"/>
  <c r="D8" i="1"/>
  <c r="J8" i="1"/>
  <c r="H8" i="1"/>
  <c r="F8" i="1"/>
  <c r="N88" i="1"/>
  <c r="N58" i="1"/>
  <c r="N56" i="1"/>
  <c r="N54" i="1"/>
  <c r="N52" i="1"/>
  <c r="N50" i="1"/>
  <c r="N20" i="1"/>
  <c r="N16" i="1"/>
  <c r="N18" i="1"/>
  <c r="N14" i="1"/>
  <c r="N22" i="1"/>
  <c r="N76" i="1"/>
  <c r="N42" i="1" l="1"/>
  <c r="N66" i="1"/>
  <c r="N32" i="1"/>
  <c r="N34" i="1" l="1"/>
  <c r="N72" i="1"/>
  <c r="N40" i="1"/>
  <c r="N78" i="1"/>
  <c r="N70" i="1"/>
  <c r="N80" i="1"/>
  <c r="N64" i="1"/>
  <c r="N36" i="1"/>
  <c r="N62" i="1"/>
  <c r="N48" i="1"/>
  <c r="N84" i="1"/>
  <c r="N44" i="1"/>
  <c r="N68" i="1"/>
  <c r="N30" i="1"/>
  <c r="N82" i="1"/>
  <c r="N28" i="1"/>
  <c r="N12" i="1"/>
  <c r="N46" i="1"/>
  <c r="N74" i="1" l="1"/>
  <c r="N10" i="1"/>
  <c r="N38" i="1"/>
  <c r="N24" i="1"/>
  <c r="N60" i="1"/>
</calcChain>
</file>

<file path=xl/sharedStrings.xml><?xml version="1.0" encoding="utf-8"?>
<sst xmlns="http://schemas.openxmlformats.org/spreadsheetml/2006/main" count="171" uniqueCount="93">
  <si>
    <t>Total</t>
  </si>
  <si>
    <t>Date</t>
  </si>
  <si>
    <t>Heures</t>
  </si>
  <si>
    <t>Remarques</t>
  </si>
  <si>
    <t>Sem</t>
  </si>
  <si>
    <t>SEM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</si>
  <si>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</si>
  <si>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</si>
  <si>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</si>
  <si>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</si>
  <si>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</si>
  <si>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</si>
  <si>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</si>
  <si>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</si>
  <si>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</si>
  <si>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45 -</t>
  </si>
  <si>
    <t>46 -</t>
  </si>
  <si>
    <t>16 -</t>
  </si>
  <si>
    <t>11 Planification</t>
  </si>
  <si>
    <t>12 Recherches</t>
  </si>
  <si>
    <t>1 Analyse</t>
  </si>
  <si>
    <t>4 Tests</t>
  </si>
  <si>
    <t>Planification</t>
  </si>
  <si>
    <t>N!</t>
  </si>
  <si>
    <t>P!</t>
  </si>
  <si>
    <t>12 MCD/MLD</t>
  </si>
  <si>
    <t>Prévu (périodes)</t>
  </si>
  <si>
    <t>41 Tests scénario de la documentation initial</t>
  </si>
  <si>
    <t>51 Rapport de projet</t>
  </si>
  <si>
    <t>5 Documentation final</t>
  </si>
  <si>
    <t>17h15</t>
  </si>
  <si>
    <t>22h30</t>
  </si>
  <si>
    <t>15h45</t>
  </si>
  <si>
    <t>6h40</t>
  </si>
  <si>
    <t>84h40</t>
  </si>
  <si>
    <t>Site de géneration de</t>
  </si>
  <si>
    <t xml:space="preserve"> labyrinthe réalisables</t>
  </si>
  <si>
    <t>Zubieta</t>
  </si>
  <si>
    <t>Pablo</t>
  </si>
  <si>
    <t>2   Mise en place</t>
  </si>
  <si>
    <t>3 Algorithmie</t>
  </si>
  <si>
    <t>23 Lier la base de donnée</t>
  </si>
  <si>
    <t>13 Documentation Initiale</t>
  </si>
  <si>
    <t>14 Création de la base de donnée</t>
  </si>
  <si>
    <t>15 Elaboration de la strategie de test</t>
  </si>
  <si>
    <t>21 Création des Wireframes et autre asset graphique</t>
  </si>
  <si>
    <t xml:space="preserve">22 Création des View </t>
  </si>
  <si>
    <t>25 Mise en place du Icescrum</t>
  </si>
  <si>
    <t>31 Création du Register/ Login</t>
  </si>
  <si>
    <t>26 Création des routes</t>
  </si>
  <si>
    <t>32 Phasing utlisateurs</t>
  </si>
  <si>
    <t xml:space="preserve">33 Norme d'encodage d'un labyrinthe </t>
  </si>
  <si>
    <t>34 Algorithme d'encodage et de décodage d'un labyrinthe</t>
  </si>
  <si>
    <t>36 Algorithme de resolution d'un labyrinthe</t>
  </si>
  <si>
    <t>35 Interface de création d'un labyrinthe</t>
  </si>
  <si>
    <t>37 Algorithme de création d'un labyrinthe</t>
  </si>
  <si>
    <t>42 Tests de la génération manuel</t>
  </si>
  <si>
    <t>44 Correction de bugs</t>
  </si>
  <si>
    <t>43 Tests de la génération automatique</t>
  </si>
  <si>
    <t>38 Création de l'historique des labyrinthes crées et resolus</t>
  </si>
  <si>
    <t>52 Mise à jours de la documentation</t>
  </si>
  <si>
    <t>39 Herbergement</t>
  </si>
  <si>
    <t>53 guide d'hebergement et d'utilisation</t>
  </si>
  <si>
    <t>310 -</t>
  </si>
  <si>
    <t>54 Finalisation de la documentation</t>
  </si>
  <si>
    <t>55 Visite de M.Bertino</t>
  </si>
  <si>
    <t xml:space="preserve">24 Création dépot Git </t>
  </si>
  <si>
    <t>56 Visite de M.Oberson</t>
  </si>
  <si>
    <t>Reception de mon Cdc</t>
  </si>
  <si>
    <t>Effectif</t>
  </si>
  <si>
    <t xml:space="preserve">Lundi </t>
  </si>
  <si>
    <t>mardi</t>
  </si>
  <si>
    <t>mercredi</t>
  </si>
  <si>
    <t>jeudi</t>
  </si>
  <si>
    <t>6H45</t>
  </si>
  <si>
    <t>3h45</t>
  </si>
  <si>
    <t>6h45</t>
  </si>
  <si>
    <t>5h15</t>
  </si>
  <si>
    <t xml:space="preserve">Rencontre avec M.Oberson. Réception et signature de mon cahier des charges. Modification du Cdc. </t>
  </si>
  <si>
    <t>envoie de ma planification initial</t>
  </si>
  <si>
    <t>Validation du MCD et MLD avec le cdc</t>
  </si>
  <si>
    <t>Review du sprint 1. Seances ayant exeptionnellement eu lieu le vendredi du à des incombatibilité horaire</t>
  </si>
  <si>
    <t>Retour sur ma documentation</t>
  </si>
  <si>
    <t>Première envoie de la Documentation</t>
  </si>
  <si>
    <t>Deuxième Livrable</t>
  </si>
  <si>
    <t>Echange de mail avec M.Glassey au sujet git flow. Specifiquement le sujet des releases</t>
  </si>
  <si>
    <t>Troisième Livrable</t>
  </si>
  <si>
    <t>Review du sprint 2 avec cdp</t>
  </si>
  <si>
    <t>rencontre avec M.Bertino. Discussion sur l'avancé du projet</t>
  </si>
  <si>
    <t>Quatrième Livrable</t>
  </si>
  <si>
    <t>La comprehension du l'utilisation du Dom et des fonctionalité de drag and drop ont necessité plus de temps que prevu</t>
  </si>
  <si>
    <t>Review du sprint 3 avec cdp</t>
  </si>
  <si>
    <t>Cinquième Livrable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</si>
</sst>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i/>
      <sz val="11"/>
      <color rgb="FF00B05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9">
    <xf numFmtId="0" fontId="0" fillId="0" borderId="0" xfId="0"/>
    <xf numFmtId="164" fontId="5" fillId="0" borderId="6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11" xfId="0" quotePrefix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>
      <alignment vertical="center" wrapText="1"/>
    </xf>
    <xf numFmtId="164" fontId="4" fillId="5" borderId="10" xfId="0" applyNumberFormat="1" applyFont="1" applyFill="1" applyBorder="1" applyAlignment="1">
      <alignment horizontal="left" vertical="center"/>
    </xf>
    <xf numFmtId="164" fontId="4" fillId="4" borderId="10" xfId="0" applyNumberFormat="1" applyFont="1" applyFill="1" applyBorder="1" applyAlignment="1">
      <alignment vertical="center"/>
    </xf>
    <xf numFmtId="164" fontId="4" fillId="7" borderId="10" xfId="0" applyNumberFormat="1" applyFont="1" applyFill="1" applyBorder="1" applyAlignment="1">
      <alignment horizontal="left" vertical="center"/>
    </xf>
    <xf numFmtId="164" fontId="4" fillId="8" borderId="10" xfId="0" applyNumberFormat="1" applyFont="1" applyFill="1" applyBorder="1" applyAlignment="1">
      <alignment vertical="center"/>
    </xf>
    <xf numFmtId="164" fontId="4" fillId="9" borderId="10" xfId="0" applyNumberFormat="1" applyFont="1" applyFill="1" applyBorder="1" applyAlignment="1">
      <alignment vertical="center"/>
    </xf>
    <xf numFmtId="0" fontId="0" fillId="3" borderId="2" xfId="0" applyFill="1" applyBorder="1"/>
    <xf numFmtId="0" fontId="0" fillId="3" borderId="20" xfId="0" applyFill="1" applyBorder="1"/>
    <xf numFmtId="0" fontId="0" fillId="3" borderId="0" xfId="0" applyFill="1"/>
    <xf numFmtId="0" fontId="1" fillId="3" borderId="0" xfId="0" applyFont="1" applyFill="1"/>
    <xf numFmtId="0" fontId="6" fillId="0" borderId="11" xfId="0" quotePrefix="1" applyFont="1" applyBorder="1" applyAlignment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Alignment="1">
      <alignment horizontal="left" vertical="center"/>
    </xf>
    <xf numFmtId="164" fontId="1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left" vertical="center" wrapText="1"/>
    </xf>
    <xf numFmtId="164" fontId="4" fillId="0" borderId="0" xfId="0" applyNumberFormat="1" applyFont="1" applyAlignment="1">
      <alignment horizontal="center" wrapText="1"/>
    </xf>
    <xf numFmtId="164" fontId="4" fillId="0" borderId="0" xfId="0" applyNumberFormat="1" applyFont="1" applyAlignment="1">
      <alignment horizontal="left" vertic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164" fontId="4" fillId="4" borderId="11" xfId="0" applyNumberFormat="1" applyFont="1" applyFill="1" applyBorder="1" applyAlignment="1">
      <alignment vertical="center"/>
    </xf>
    <xf numFmtId="164" fontId="3" fillId="4" borderId="11" xfId="0" applyNumberFormat="1" applyFont="1" applyFill="1" applyBorder="1" applyAlignment="1">
      <alignment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4" fillId="4" borderId="12" xfId="0" applyNumberFormat="1" applyFont="1" applyFill="1" applyBorder="1" applyAlignment="1">
      <alignment vertical="center"/>
    </xf>
    <xf numFmtId="164" fontId="4" fillId="4" borderId="9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7" fillId="3" borderId="13" xfId="0" applyNumberFormat="1" applyFont="1" applyFill="1" applyBorder="1" applyAlignment="1">
      <alignment vertical="center" wrapText="1"/>
    </xf>
    <xf numFmtId="164" fontId="3" fillId="2" borderId="2" xfId="0" applyNumberFormat="1" applyFont="1" applyFill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7" fillId="2" borderId="18" xfId="0" applyNumberFormat="1" applyFont="1" applyFill="1" applyBorder="1" applyAlignment="1">
      <alignment vertical="center" wrapText="1"/>
    </xf>
    <xf numFmtId="164" fontId="7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4" fillId="5" borderId="11" xfId="0" applyNumberFormat="1" applyFont="1" applyFill="1" applyBorder="1" applyAlignment="1">
      <alignment vertical="center" wrapText="1"/>
    </xf>
    <xf numFmtId="164" fontId="3" fillId="5" borderId="11" xfId="0" applyNumberFormat="1" applyFont="1" applyFill="1" applyBorder="1" applyAlignment="1">
      <alignment vertical="center"/>
    </xf>
    <xf numFmtId="164" fontId="4" fillId="5" borderId="12" xfId="0" applyNumberFormat="1" applyFont="1" applyFill="1" applyBorder="1" applyAlignment="1">
      <alignment horizontal="left" vertical="center"/>
    </xf>
    <xf numFmtId="164" fontId="4" fillId="5" borderId="9" xfId="0" applyNumberFormat="1" applyFont="1" applyFill="1" applyBorder="1" applyAlignment="1">
      <alignment vertical="center" wrapText="1"/>
    </xf>
    <xf numFmtId="164" fontId="3" fillId="5" borderId="9" xfId="0" applyNumberFormat="1" applyFont="1" applyFill="1" applyBorder="1" applyAlignment="1">
      <alignment horizontal="center" vertical="center"/>
    </xf>
    <xf numFmtId="164" fontId="4" fillId="7" borderId="11" xfId="0" applyNumberFormat="1" applyFont="1" applyFill="1" applyBorder="1" applyAlignment="1">
      <alignment vertical="center"/>
    </xf>
    <xf numFmtId="164" fontId="3" fillId="7" borderId="11" xfId="0" applyNumberFormat="1" applyFont="1" applyFill="1" applyBorder="1" applyAlignment="1">
      <alignment vertical="center"/>
    </xf>
    <xf numFmtId="164" fontId="4" fillId="7" borderId="12" xfId="0" applyNumberFormat="1" applyFont="1" applyFill="1" applyBorder="1" applyAlignment="1">
      <alignment vertical="center"/>
    </xf>
    <xf numFmtId="164" fontId="4" fillId="7" borderId="9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4" fillId="8" borderId="11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4" fillId="8" borderId="12" xfId="0" applyNumberFormat="1" applyFont="1" applyFill="1" applyBorder="1" applyAlignment="1">
      <alignment vertical="center"/>
    </xf>
    <xf numFmtId="164" fontId="4" fillId="8" borderId="9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3" fillId="0" borderId="26" xfId="0" applyNumberFormat="1" applyFont="1" applyBorder="1" applyAlignment="1">
      <alignment horizontal="center" vertical="center"/>
    </xf>
    <xf numFmtId="164" fontId="4" fillId="9" borderId="11" xfId="0" applyNumberFormat="1" applyFont="1" applyFill="1" applyBorder="1" applyAlignment="1">
      <alignment vertical="center"/>
    </xf>
    <xf numFmtId="164" fontId="3" fillId="9" borderId="11" xfId="0" applyNumberFormat="1" applyFont="1" applyFill="1" applyBorder="1" applyAlignment="1">
      <alignment vertical="center"/>
    </xf>
    <xf numFmtId="164" fontId="4" fillId="9" borderId="12" xfId="0" applyNumberFormat="1" applyFont="1" applyFill="1" applyBorder="1" applyAlignment="1">
      <alignment vertical="center"/>
    </xf>
    <xf numFmtId="164" fontId="4" fillId="9" borderId="9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24" xfId="0" applyFont="1" applyBorder="1" applyAlignment="1">
      <alignment horizontal="center" vertical="top"/>
    </xf>
    <xf numFmtId="0" fontId="1" fillId="0" borderId="24" xfId="0" applyFont="1" applyBorder="1" applyAlignment="1">
      <alignment horizontal="left" vertical="top"/>
    </xf>
    <xf numFmtId="0" fontId="0" fillId="0" borderId="24" xfId="0" applyBorder="1" applyAlignment="1">
      <alignment horizontal="center" vertical="top"/>
    </xf>
    <xf numFmtId="0" fontId="0" fillId="0" borderId="24" xfId="0" applyBorder="1" applyAlignment="1">
      <alignment horizontal="center"/>
    </xf>
    <xf numFmtId="164" fontId="2" fillId="0" borderId="0" xfId="0" applyNumberFormat="1" applyFont="1" applyBorder="1" applyAlignment="1">
      <alignment horizontal="center" vertical="center"/>
    </xf>
    <xf numFmtId="164" fontId="0" fillId="0" borderId="0" xfId="0" applyNumberFormat="1"/>
    <xf numFmtId="164" fontId="0" fillId="10" borderId="0" xfId="0" applyNumberFormat="1" applyFill="1"/>
    <xf numFmtId="164" fontId="13" fillId="3" borderId="0" xfId="0" applyNumberFormat="1" applyFont="1" applyFill="1"/>
    <xf numFmtId="0" fontId="16" fillId="0" borderId="24" xfId="0" applyFont="1" applyBorder="1" applyAlignment="1" applyProtection="1">
      <alignment horizontal="left" vertical="top" wrapText="1"/>
      <protection locked="0"/>
    </xf>
    <xf numFmtId="0" fontId="17" fillId="0" borderId="0" xfId="0" applyFont="1"/>
    <xf numFmtId="0" fontId="0" fillId="0" borderId="24" xfId="0" applyFont="1" applyBorder="1" applyAlignment="1" applyProtection="1">
      <alignment horizontal="center" vertical="top"/>
      <protection locked="0"/>
    </xf>
  </cellXfs>
  <cellStyles count="1">
    <cellStyle name="Normal" xfId="0" builtinId="0"/>
  </cellStyles>
  <dxfs count="27"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8"/>
  <sheetViews>
    <sheetView topLeftCell="B1" workbookViewId="0">
      <selection activeCell="D5" sqref="D5"/>
    </sheetView>
  </sheetViews>
  <sheetFormatPr baseColWidth="10" defaultRowHeight="15" x14ac:dyDescent="0.25"/>
  <cols>
    <col min="1" max="1" width="26.5703125" bestFit="1" customWidth="1"/>
    <col min="2" max="2" width="14.140625" customWidth="1"/>
    <col min="3" max="3" width="16.5703125" customWidth="1"/>
    <col min="4" max="4" width="17.28515625" customWidth="1"/>
    <col min="5" max="5" width="3.85546875" customWidth="1"/>
    <col min="6" max="6" width="24.140625" customWidth="1"/>
    <col min="7" max="7" width="54.7109375" customWidth="1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9</v>
      </c>
      <c r="D2" s="17"/>
      <c r="E2" s="17"/>
      <c r="F2" s="17"/>
      <c r="G2" s="17"/>
      <c r="H2" s="17"/>
    </row>
    <row r="3" spans="1:8" x14ac:dyDescent="0.25">
      <c r="A3" s="18" t="s">
        <v>11</v>
      </c>
      <c r="B3" s="18" t="s">
        <v>14</v>
      </c>
      <c r="C3" s="18" t="s">
        <v>6</v>
      </c>
      <c r="D3" s="18" t="s">
        <v>10</v>
      </c>
      <c r="E3" s="18"/>
      <c r="F3" s="18" t="s">
        <v>12</v>
      </c>
      <c r="G3" s="18" t="s">
        <v>8</v>
      </c>
      <c r="H3" s="17"/>
    </row>
    <row r="4" spans="1:8" ht="15" customHeight="1" x14ac:dyDescent="0.25">
      <c r="A4" s="20" t="s">
        <v>35</v>
      </c>
      <c r="B4" s="23">
        <v>45048</v>
      </c>
      <c r="C4" s="24" t="s">
        <v>37</v>
      </c>
      <c r="D4" s="25" t="s">
        <v>38</v>
      </c>
      <c r="E4" s="17"/>
      <c r="F4" s="20" t="s">
        <v>20</v>
      </c>
      <c r="G4" s="26" t="s">
        <v>18</v>
      </c>
      <c r="H4" s="17"/>
    </row>
    <row r="5" spans="1:8" x14ac:dyDescent="0.25">
      <c r="A5" s="21" t="s">
        <v>36</v>
      </c>
      <c r="B5" s="17"/>
      <c r="C5" s="24" t="s">
        <v>23</v>
      </c>
      <c r="D5" s="25" t="s">
        <v>24</v>
      </c>
      <c r="E5" s="17"/>
      <c r="F5" s="15"/>
      <c r="G5" s="27" t="s">
        <v>25</v>
      </c>
      <c r="H5" s="17"/>
    </row>
    <row r="6" spans="1:8" x14ac:dyDescent="0.25">
      <c r="A6" s="22"/>
      <c r="B6" s="17"/>
      <c r="C6" s="17"/>
      <c r="D6" s="17"/>
      <c r="E6" s="17"/>
      <c r="F6" s="15"/>
      <c r="G6" s="27" t="s">
        <v>42</v>
      </c>
      <c r="H6" s="17"/>
    </row>
    <row r="7" spans="1:8" x14ac:dyDescent="0.25">
      <c r="A7" s="17"/>
      <c r="B7" s="17"/>
      <c r="C7" s="17"/>
      <c r="D7" s="17"/>
      <c r="E7" s="17"/>
      <c r="F7" s="15"/>
      <c r="G7" s="27" t="s">
        <v>43</v>
      </c>
      <c r="H7" s="17"/>
    </row>
    <row r="8" spans="1:8" x14ac:dyDescent="0.25">
      <c r="A8" s="17"/>
      <c r="B8" s="17"/>
      <c r="C8" s="17"/>
      <c r="D8" s="17"/>
      <c r="E8" s="17"/>
      <c r="F8" s="15"/>
      <c r="G8" s="21" t="s">
        <v>44</v>
      </c>
      <c r="H8" s="17"/>
    </row>
    <row r="9" spans="1:8" x14ac:dyDescent="0.25">
      <c r="A9" s="17"/>
      <c r="B9" s="17"/>
      <c r="C9" s="17"/>
      <c r="D9" s="17"/>
      <c r="E9" s="17"/>
      <c r="F9" s="16"/>
      <c r="G9" s="22" t="s">
        <v>17</v>
      </c>
      <c r="H9" s="17"/>
    </row>
    <row r="10" spans="1:8" x14ac:dyDescent="0.25">
      <c r="A10" s="17"/>
      <c r="B10" s="17"/>
      <c r="C10" s="17"/>
      <c r="D10" s="17"/>
      <c r="E10" s="17"/>
      <c r="F10" s="20" t="s">
        <v>39</v>
      </c>
      <c r="G10" s="20" t="s">
        <v>45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1" t="s">
        <v>46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1" t="s">
        <v>41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1" t="s">
        <v>66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1" t="s">
        <v>47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1" t="s">
        <v>49</v>
      </c>
      <c r="H15" s="17"/>
    </row>
    <row r="16" spans="1:8" x14ac:dyDescent="0.25">
      <c r="A16" s="17"/>
      <c r="B16" s="17"/>
      <c r="C16" s="17"/>
      <c r="D16" s="17"/>
      <c r="E16" s="17"/>
      <c r="F16" s="20" t="s">
        <v>40</v>
      </c>
      <c r="G16" s="26" t="s">
        <v>48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7" t="s">
        <v>50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7" t="s">
        <v>51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7" t="s">
        <v>52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7" t="s">
        <v>54</v>
      </c>
      <c r="H20" s="17"/>
    </row>
    <row r="21" spans="1:8" x14ac:dyDescent="0.25">
      <c r="A21" s="17"/>
      <c r="B21" s="17"/>
      <c r="C21" s="17"/>
      <c r="D21" s="17"/>
      <c r="E21" s="17"/>
      <c r="F21" s="15"/>
      <c r="G21" s="27" t="s">
        <v>53</v>
      </c>
      <c r="H21" s="17"/>
    </row>
    <row r="22" spans="1:8" x14ac:dyDescent="0.25">
      <c r="A22" s="17"/>
      <c r="B22" s="17"/>
      <c r="C22" s="17"/>
      <c r="D22" s="17"/>
      <c r="E22" s="17"/>
      <c r="F22" s="16"/>
      <c r="G22" s="27" t="s">
        <v>55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7" t="s">
        <v>59</v>
      </c>
      <c r="H23" s="17"/>
    </row>
    <row r="24" spans="1:8" ht="14.25" customHeight="1" x14ac:dyDescent="0.25">
      <c r="A24" s="17"/>
      <c r="B24" s="17"/>
      <c r="C24" s="17"/>
      <c r="D24" s="17"/>
      <c r="E24" s="17"/>
      <c r="F24" s="15"/>
      <c r="G24" s="27" t="s">
        <v>61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7" t="s">
        <v>63</v>
      </c>
      <c r="H25" s="17"/>
    </row>
    <row r="26" spans="1:8" x14ac:dyDescent="0.25">
      <c r="A26" s="17"/>
      <c r="B26" s="17"/>
      <c r="C26" s="17"/>
      <c r="D26" s="17"/>
      <c r="E26" s="17"/>
      <c r="F26" s="20" t="s">
        <v>21</v>
      </c>
      <c r="G26" s="20" t="s">
        <v>27</v>
      </c>
      <c r="H26" s="17"/>
    </row>
    <row r="27" spans="1:8" x14ac:dyDescent="0.25">
      <c r="A27" s="17"/>
      <c r="B27" s="17"/>
      <c r="C27" s="17"/>
      <c r="D27" s="17"/>
      <c r="E27" s="17"/>
      <c r="F27" s="15"/>
      <c r="G27" s="21" t="s">
        <v>56</v>
      </c>
      <c r="H27" s="17"/>
    </row>
    <row r="28" spans="1:8" x14ac:dyDescent="0.25">
      <c r="A28" s="17"/>
      <c r="B28" s="17"/>
      <c r="C28" s="17"/>
      <c r="D28" s="17"/>
      <c r="E28" s="17"/>
      <c r="F28" s="15"/>
      <c r="G28" s="21" t="s">
        <v>58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1" t="s">
        <v>57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1" t="s">
        <v>15</v>
      </c>
      <c r="H30" s="17"/>
    </row>
    <row r="31" spans="1:8" x14ac:dyDescent="0.25">
      <c r="A31" s="17"/>
      <c r="B31" s="17"/>
      <c r="C31" s="17"/>
      <c r="D31" s="17"/>
      <c r="E31" s="17"/>
      <c r="F31" s="16"/>
      <c r="G31" s="21" t="s">
        <v>16</v>
      </c>
      <c r="H31" s="17"/>
    </row>
    <row r="32" spans="1:8" x14ac:dyDescent="0.25">
      <c r="A32" s="17"/>
      <c r="B32" s="17"/>
      <c r="C32" s="17"/>
      <c r="D32" s="17"/>
      <c r="E32" s="17"/>
      <c r="F32" s="20" t="s">
        <v>29</v>
      </c>
      <c r="G32" s="20" t="s">
        <v>28</v>
      </c>
      <c r="H32" s="17"/>
    </row>
    <row r="33" spans="1:8" x14ac:dyDescent="0.25">
      <c r="A33" s="17"/>
      <c r="B33" s="17"/>
      <c r="C33" s="17"/>
      <c r="D33" s="17"/>
      <c r="E33" s="17"/>
      <c r="F33" s="15"/>
      <c r="G33" s="21" t="s">
        <v>60</v>
      </c>
      <c r="H33" s="17"/>
    </row>
    <row r="34" spans="1:8" x14ac:dyDescent="0.25">
      <c r="A34" s="17"/>
      <c r="B34" s="17"/>
      <c r="C34" s="17"/>
      <c r="D34" s="17"/>
      <c r="E34" s="17"/>
      <c r="F34" s="15"/>
      <c r="G34" s="21" t="s">
        <v>62</v>
      </c>
      <c r="H34" s="17"/>
    </row>
    <row r="35" spans="1:8" x14ac:dyDescent="0.25">
      <c r="A35" s="17"/>
      <c r="B35" s="17"/>
      <c r="C35" s="17"/>
      <c r="D35" s="17"/>
      <c r="E35" s="17"/>
      <c r="F35" s="15"/>
      <c r="G35" s="21" t="s">
        <v>64</v>
      </c>
      <c r="H35" s="17"/>
    </row>
    <row r="36" spans="1:8" x14ac:dyDescent="0.25">
      <c r="A36" s="17"/>
      <c r="B36" s="17"/>
      <c r="C36" s="17"/>
      <c r="D36" s="17"/>
      <c r="E36" s="17"/>
      <c r="F36" s="15"/>
      <c r="G36" s="21" t="s">
        <v>65</v>
      </c>
      <c r="H36" s="17"/>
    </row>
    <row r="37" spans="1:8" x14ac:dyDescent="0.25">
      <c r="A37" s="17"/>
      <c r="B37" s="17"/>
      <c r="C37" s="17"/>
      <c r="D37" s="17"/>
      <c r="E37" s="17"/>
      <c r="F37" s="16"/>
      <c r="G37" s="21" t="s">
        <v>67</v>
      </c>
      <c r="H37" s="17"/>
    </row>
    <row r="38" spans="1:8" x14ac:dyDescent="0.25">
      <c r="A38" s="17"/>
      <c r="B38" s="17"/>
      <c r="C38" s="17"/>
      <c r="D38" s="17"/>
      <c r="E38" s="17"/>
      <c r="F38" s="17"/>
      <c r="G38" s="17"/>
      <c r="H38" s="17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N88"/>
  <sheetViews>
    <sheetView showZeros="0" topLeftCell="A40" zoomScale="70" zoomScaleNormal="70" zoomScalePageLayoutView="70" workbookViewId="0">
      <selection activeCell="J64" sqref="J64"/>
    </sheetView>
  </sheetViews>
  <sheetFormatPr baseColWidth="10" defaultRowHeight="16.5" x14ac:dyDescent="0.25"/>
  <cols>
    <col min="1" max="1" width="35.7109375" style="32" bestFit="1" customWidth="1"/>
    <col min="2" max="2" width="71.140625" style="32" customWidth="1"/>
    <col min="3" max="3" width="14.85546875" style="32" bestFit="1" customWidth="1"/>
    <col min="4" max="4" width="9" style="32" customWidth="1"/>
    <col min="5" max="5" width="1.42578125" style="32" customWidth="1"/>
    <col min="6" max="6" width="11.42578125" style="32" bestFit="1" customWidth="1"/>
    <col min="7" max="7" width="1.42578125" style="32" customWidth="1"/>
    <col min="8" max="8" width="7.85546875" style="32" customWidth="1"/>
    <col min="9" max="9" width="1.42578125" style="32" customWidth="1"/>
    <col min="10" max="10" width="8" style="32" customWidth="1"/>
    <col min="11" max="11" width="1.42578125" style="32" customWidth="1"/>
    <col min="12" max="12" width="7.85546875" style="32" customWidth="1"/>
    <col min="13" max="13" width="1.42578125" style="32" customWidth="1"/>
    <col min="14" max="16384" width="11.42578125" style="32"/>
  </cols>
  <sheetData>
    <row r="1" spans="1:14" ht="26.25" x14ac:dyDescent="0.25">
      <c r="A1" s="28" t="s">
        <v>11</v>
      </c>
      <c r="B1" s="29">
        <f>Base!A6</f>
        <v>0</v>
      </c>
      <c r="C1" s="30"/>
      <c r="D1" s="86" t="s">
        <v>22</v>
      </c>
      <c r="E1" s="31"/>
      <c r="F1" s="31"/>
      <c r="G1" s="31"/>
      <c r="H1" s="31"/>
      <c r="I1" s="31"/>
      <c r="J1" s="31"/>
      <c r="K1" s="31"/>
      <c r="L1" s="31"/>
      <c r="M1" s="31"/>
    </row>
    <row r="2" spans="1:14" s="39" customFormat="1" ht="74.25" customHeight="1" thickBot="1" x14ac:dyDescent="0.35">
      <c r="A2" s="33" t="str">
        <f>CONCATENATE(Base!A4,IF(ISBLANK(Base!A5),, "-"),Base!A5,IF(ISBLANK(Base!A6),, "-"),Base!A6)</f>
        <v>Site de géneration de- labyrinthe réalisables</v>
      </c>
      <c r="B2" s="34" t="s">
        <v>0</v>
      </c>
      <c r="C2" s="35"/>
      <c r="D2" s="36">
        <f>Base!B4</f>
        <v>45048</v>
      </c>
      <c r="E2" s="37"/>
      <c r="F2" s="36">
        <v>45054</v>
      </c>
      <c r="G2" s="38"/>
      <c r="H2" s="36">
        <f>F2+7</f>
        <v>45061</v>
      </c>
      <c r="I2" s="38"/>
      <c r="J2" s="36">
        <f>H2+7</f>
        <v>45068</v>
      </c>
      <c r="K2" s="38"/>
      <c r="L2" s="36">
        <f>J2+8</f>
        <v>45076</v>
      </c>
      <c r="M2" s="38"/>
    </row>
    <row r="3" spans="1:14" ht="18.75" customHeight="1" thickBot="1" x14ac:dyDescent="0.3">
      <c r="A3" s="40" t="s">
        <v>26</v>
      </c>
      <c r="B3" s="41" t="s">
        <v>34</v>
      </c>
      <c r="D3" s="1" t="s">
        <v>30</v>
      </c>
      <c r="E3" s="2"/>
      <c r="F3" s="1" t="s">
        <v>31</v>
      </c>
      <c r="G3" s="3"/>
      <c r="H3" s="1" t="s">
        <v>32</v>
      </c>
      <c r="I3" s="3"/>
      <c r="J3" s="1" t="s">
        <v>31</v>
      </c>
      <c r="K3" s="3"/>
      <c r="L3" s="1" t="s">
        <v>33</v>
      </c>
      <c r="M3" s="3"/>
    </row>
    <row r="4" spans="1:14" ht="18" customHeight="1" thickBot="1" x14ac:dyDescent="0.3">
      <c r="A4" s="42" t="s">
        <v>69</v>
      </c>
      <c r="B4" s="43" t="s">
        <v>34</v>
      </c>
      <c r="D4" s="4">
        <v>0</v>
      </c>
      <c r="E4" s="2"/>
      <c r="F4" s="4">
        <v>0</v>
      </c>
      <c r="G4" s="3"/>
      <c r="H4" s="4">
        <v>0</v>
      </c>
      <c r="I4" s="3"/>
      <c r="J4" s="4">
        <v>0</v>
      </c>
      <c r="K4" s="3"/>
      <c r="L4" s="4">
        <v>0</v>
      </c>
      <c r="M4" s="3"/>
    </row>
    <row r="5" spans="1:14" ht="15" customHeight="1" thickBot="1" x14ac:dyDescent="0.3">
      <c r="A5" s="31"/>
      <c r="B5" s="31"/>
      <c r="C5" s="44" t="s">
        <v>5</v>
      </c>
      <c r="D5" s="5">
        <v>1</v>
      </c>
      <c r="E5" s="6"/>
      <c r="F5" s="5">
        <v>2</v>
      </c>
      <c r="G5" s="6"/>
      <c r="H5" s="5">
        <v>3</v>
      </c>
      <c r="I5" s="6"/>
      <c r="J5" s="19">
        <v>4</v>
      </c>
      <c r="K5" s="6"/>
      <c r="L5" s="5">
        <v>5</v>
      </c>
      <c r="M5" s="6"/>
    </row>
    <row r="6" spans="1:14" ht="15" customHeight="1" x14ac:dyDescent="0.25">
      <c r="A6" s="31"/>
      <c r="B6" s="31"/>
      <c r="C6" s="102"/>
      <c r="D6" s="5"/>
      <c r="E6" s="6"/>
      <c r="F6" s="5"/>
      <c r="G6" s="6"/>
      <c r="H6" s="5"/>
      <c r="I6" s="6"/>
      <c r="J6" s="19"/>
      <c r="K6" s="6"/>
      <c r="L6" s="5"/>
      <c r="M6" s="6"/>
    </row>
    <row r="7" spans="1:14" ht="15" customHeight="1" x14ac:dyDescent="0.25">
      <c r="A7" s="31"/>
      <c r="B7" s="31"/>
      <c r="C7" s="102"/>
      <c r="D7" s="105">
        <f>SUM(D11,D13,D15,D17,D19,D21,D25,D27,D29,D31,D33,D35,D39,D41,D43,D45,D47,D49,D51,D53,D55,D57,D61,D63,D65,D67,D69,D71,D75,D77,D79,D81,D83,D85)</f>
        <v>0.71875000000000011</v>
      </c>
      <c r="E7">
        <f t="shared" ref="E7:L7" si="0">SUM(E11,E13,E15,E17,E19,E21,E25,E27,E29,E31,E33,E35,E39,E41,E43,E45,E47,E49,E51,E53,E55,E57,E61,E63,E65,E67,E69,E71,E75,E77,E79,E81,E83,E85)</f>
        <v>0</v>
      </c>
      <c r="F7" s="105">
        <f>SUM(F11,F13,F15,F17,F19,F21,F25,F27,F29,F31,F33,F35,F39,F41,F43,F45,F47,F49,F51,F53,F55,F57,F61,F63,F65,F67,F69,F71,F75,F77,F79,F81,F83,F85)</f>
        <v>0.9375</v>
      </c>
      <c r="G7">
        <f t="shared" si="0"/>
        <v>0</v>
      </c>
      <c r="H7" s="105">
        <f t="shared" si="0"/>
        <v>0.65624999999999989</v>
      </c>
      <c r="I7">
        <f t="shared" si="0"/>
        <v>0</v>
      </c>
      <c r="J7" s="105">
        <f t="shared" si="0"/>
        <v>0.9375</v>
      </c>
      <c r="K7">
        <f t="shared" si="0"/>
        <v>0</v>
      </c>
      <c r="L7" s="105">
        <f t="shared" si="0"/>
        <v>0.27777777777777773</v>
      </c>
      <c r="M7" s="6"/>
    </row>
    <row r="8" spans="1:14" ht="15" customHeight="1" thickBot="1" x14ac:dyDescent="0.3">
      <c r="A8" s="31"/>
      <c r="B8" s="31"/>
      <c r="C8" s="102"/>
      <c r="D8" s="104">
        <f>SUM(D12,D14,D16,D18,D20,D22,D26,D28,D30,D32,D34,D36,D40,D42,D44,D46,D48,D50,D52,D54,D56,D58,D62,D64,D66,D68,D70,D72,D76,D78,D80,D82,D84,D86)</f>
        <v>0.71875</v>
      </c>
      <c r="E8">
        <f t="shared" ref="E8:M8" si="1">SUM(E12,E14,E16,E18,E20,E22,E26,E28,E30,E32,E34,E36,E40,E42,E44,E46,E48,E50,E52,E54,E56,E58,E62,E64,E66,E68,E70,E72,E76,E78,E80,E82,E84,E86)</f>
        <v>0</v>
      </c>
      <c r="F8" s="104">
        <f t="shared" si="1"/>
        <v>0.93750000000000011</v>
      </c>
      <c r="G8">
        <f t="shared" si="1"/>
        <v>0</v>
      </c>
      <c r="H8" s="104">
        <f t="shared" si="1"/>
        <v>0.65625000000000011</v>
      </c>
      <c r="I8">
        <f t="shared" si="1"/>
        <v>0</v>
      </c>
      <c r="J8" s="104">
        <f t="shared" si="1"/>
        <v>0.21875</v>
      </c>
      <c r="K8">
        <f t="shared" si="1"/>
        <v>0</v>
      </c>
      <c r="L8" s="104">
        <f t="shared" si="1"/>
        <v>0</v>
      </c>
      <c r="M8" s="103">
        <f t="shared" si="1"/>
        <v>0</v>
      </c>
    </row>
    <row r="9" spans="1:14" ht="20.25" x14ac:dyDescent="0.25">
      <c r="A9" s="11" t="str">
        <f>Base!F4</f>
        <v>1 Analyse</v>
      </c>
      <c r="B9" s="45"/>
      <c r="C9" s="45"/>
      <c r="D9" s="46"/>
      <c r="E9" s="46"/>
      <c r="F9" s="46"/>
      <c r="G9" s="46"/>
      <c r="H9" s="46"/>
      <c r="I9" s="46"/>
      <c r="J9" s="46"/>
      <c r="K9" s="46"/>
      <c r="L9" s="46"/>
      <c r="M9" s="46"/>
      <c r="N9" s="47">
        <f>SUMIF($C11:$C22,$C11,N11:N22)</f>
        <v>0.27083333333333337</v>
      </c>
    </row>
    <row r="10" spans="1:14" ht="15" customHeight="1" thickBot="1" x14ac:dyDescent="0.3">
      <c r="A10" s="48"/>
      <c r="B10" s="49"/>
      <c r="C10" s="49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1">
        <f>SUMIF($C11:$C22,$C12,N11:N22)</f>
        <v>0.43055555555555552</v>
      </c>
    </row>
    <row r="11" spans="1:14" ht="15" customHeight="1" x14ac:dyDescent="0.25">
      <c r="B11" s="9" t="str">
        <f>Base!G4</f>
        <v>11 Planification</v>
      </c>
      <c r="C11" s="52" t="str">
        <f>A$3</f>
        <v>Prévu (périodes)</v>
      </c>
      <c r="D11" s="83">
        <v>8.3333333333333329E-2</v>
      </c>
      <c r="E11" s="53"/>
      <c r="F11" s="83"/>
      <c r="G11" s="53"/>
      <c r="H11" s="83"/>
      <c r="I11" s="54"/>
      <c r="J11" s="84"/>
      <c r="K11" s="54"/>
      <c r="L11" s="85"/>
      <c r="M11" s="53"/>
      <c r="N11" s="55">
        <f t="shared" ref="N11:N22" si="2">IF(SUM(D11:M11)=0,"",SUM(D11:M11))</f>
        <v>8.3333333333333329E-2</v>
      </c>
    </row>
    <row r="12" spans="1:14" ht="15" customHeight="1" thickBot="1" x14ac:dyDescent="0.3">
      <c r="B12" s="56"/>
      <c r="C12" s="57" t="str">
        <f>A$4</f>
        <v>Effectif</v>
      </c>
      <c r="D12" s="58">
        <v>0.16666666666666666</v>
      </c>
      <c r="E12" s="59"/>
      <c r="F12" s="58"/>
      <c r="G12" s="59"/>
      <c r="H12" s="58"/>
      <c r="I12" s="60"/>
      <c r="J12" s="58">
        <f>SUMIFS(' Journal de Bord'!$D$4:$D$8367,' Journal de Bord'!$B$4:$B$8367,J$5,' Journal de Bord'!$C$4:$C$8367,$B11)</f>
        <v>0</v>
      </c>
      <c r="K12" s="60"/>
      <c r="L12" s="58"/>
      <c r="M12" s="59"/>
      <c r="N12" s="61">
        <f t="shared" si="2"/>
        <v>0.16666666666666666</v>
      </c>
    </row>
    <row r="13" spans="1:14" ht="15" customHeight="1" x14ac:dyDescent="0.25">
      <c r="B13" s="9" t="str">
        <f>Base!G5</f>
        <v>12 MCD/MLD</v>
      </c>
      <c r="C13" s="52" t="str">
        <f>A$3</f>
        <v>Prévu (périodes)</v>
      </c>
      <c r="D13" s="83">
        <v>4.1666666666666664E-2</v>
      </c>
      <c r="E13" s="53"/>
      <c r="F13" s="83"/>
      <c r="G13" s="53"/>
      <c r="H13" s="83"/>
      <c r="I13" s="54"/>
      <c r="J13" s="84"/>
      <c r="K13" s="54"/>
      <c r="L13" s="85"/>
      <c r="M13" s="53"/>
      <c r="N13" s="55">
        <f t="shared" si="2"/>
        <v>4.1666666666666664E-2</v>
      </c>
    </row>
    <row r="14" spans="1:14" ht="15" customHeight="1" thickBot="1" x14ac:dyDescent="0.3">
      <c r="B14" s="56"/>
      <c r="C14" s="57" t="str">
        <f>A$4</f>
        <v>Effectif</v>
      </c>
      <c r="D14" s="58">
        <v>2.0833333333333332E-2</v>
      </c>
      <c r="E14" s="59"/>
      <c r="F14" s="58"/>
      <c r="G14" s="59"/>
      <c r="H14" s="58">
        <f>SUMIFS(' Journal de Bord'!$D$4:$D$8367,' Journal de Bord'!$B$4:$B$8367,H$5,' Journal de Bord'!$C$4:$C$8367,$B13)</f>
        <v>0</v>
      </c>
      <c r="I14" s="60"/>
      <c r="J14" s="58"/>
      <c r="K14" s="60"/>
      <c r="L14" s="58">
        <f>SUMIFS(' Journal de Bord'!$D$4:$D$8367,' Journal de Bord'!$B$4:$B$8367,L$5,' Journal de Bord'!$C$4:$C$8367,$B13)</f>
        <v>0</v>
      </c>
      <c r="M14" s="59"/>
      <c r="N14" s="61">
        <f t="shared" si="2"/>
        <v>2.0833333333333332E-2</v>
      </c>
    </row>
    <row r="15" spans="1:14" ht="15" customHeight="1" x14ac:dyDescent="0.25">
      <c r="B15" s="9" t="str">
        <f>Base!G6</f>
        <v>13 Documentation Initiale</v>
      </c>
      <c r="C15" s="52" t="str">
        <f>A$3</f>
        <v>Prévu (périodes)</v>
      </c>
      <c r="D15" s="83">
        <v>6.25E-2</v>
      </c>
      <c r="E15" s="53"/>
      <c r="F15" s="83"/>
      <c r="G15" s="53"/>
      <c r="H15" s="83"/>
      <c r="I15" s="54"/>
      <c r="J15" s="84"/>
      <c r="K15" s="54"/>
      <c r="L15" s="85"/>
      <c r="M15" s="53"/>
      <c r="N15" s="55">
        <f t="shared" si="2"/>
        <v>6.25E-2</v>
      </c>
    </row>
    <row r="16" spans="1:14" ht="15" customHeight="1" thickBot="1" x14ac:dyDescent="0.3">
      <c r="B16" s="56"/>
      <c r="C16" s="57" t="str">
        <f>A$4</f>
        <v>Effectif</v>
      </c>
      <c r="D16" s="58">
        <v>6.25E-2</v>
      </c>
      <c r="E16" s="59"/>
      <c r="F16" s="58">
        <v>8.3333333333333329E-2</v>
      </c>
      <c r="G16" s="59"/>
      <c r="H16" s="58">
        <f>SUMIFS(' Journal de Bord'!$D$4:$D$8367,' Journal de Bord'!$B$4:$B$8367,H$5,' Journal de Bord'!$C$4:$C$8367,$B15)</f>
        <v>0</v>
      </c>
      <c r="I16" s="60"/>
      <c r="J16" s="58">
        <f>SUMIFS(' Journal de Bord'!$D$4:$D$8367,' Journal de Bord'!$B$4:$B$8367,J$5,' Journal de Bord'!$C$4:$C$8367,$B15)</f>
        <v>0</v>
      </c>
      <c r="K16" s="60"/>
      <c r="L16" s="58"/>
      <c r="M16" s="59"/>
      <c r="N16" s="61">
        <f t="shared" si="2"/>
        <v>0.14583333333333331</v>
      </c>
    </row>
    <row r="17" spans="1:14" ht="15" customHeight="1" x14ac:dyDescent="0.25">
      <c r="B17" s="9" t="str">
        <f>Base!G7</f>
        <v>14 Création de la base de donnée</v>
      </c>
      <c r="C17" s="52" t="str">
        <f>A$3</f>
        <v>Prévu (périodes)</v>
      </c>
      <c r="D17" s="83">
        <v>2.0833333333333332E-2</v>
      </c>
      <c r="E17" s="53"/>
      <c r="F17" s="83"/>
      <c r="G17" s="53"/>
      <c r="H17" s="83"/>
      <c r="I17" s="54"/>
      <c r="J17" s="84"/>
      <c r="K17" s="54"/>
      <c r="L17" s="85"/>
      <c r="M17" s="53"/>
      <c r="N17" s="55">
        <f t="shared" si="2"/>
        <v>2.0833333333333332E-2</v>
      </c>
    </row>
    <row r="18" spans="1:14" ht="15" customHeight="1" thickBot="1" x14ac:dyDescent="0.3">
      <c r="B18" s="56"/>
      <c r="C18" s="57" t="str">
        <f>A$4</f>
        <v>Effectif</v>
      </c>
      <c r="D18" s="58">
        <v>1.3888888888888888E-2</v>
      </c>
      <c r="E18" s="59"/>
      <c r="F18" s="58">
        <f>SUMIFS(' Journal de Bord'!$D$4:$D$8367,' Journal de Bord'!$B$4:$B$8367,F$5,' Journal de Bord'!$C$4:$C$8367,$B17)</f>
        <v>0</v>
      </c>
      <c r="G18" s="59"/>
      <c r="H18" s="58">
        <f>SUMIFS(' Journal de Bord'!$D$4:$D$8367,' Journal de Bord'!$B$4:$B$8367,H$5,' Journal de Bord'!$C$4:$C$8367,$B17)</f>
        <v>0</v>
      </c>
      <c r="I18" s="60"/>
      <c r="J18" s="58"/>
      <c r="K18" s="60"/>
      <c r="L18" s="58"/>
      <c r="M18" s="59"/>
      <c r="N18" s="61">
        <f t="shared" si="2"/>
        <v>1.3888888888888888E-2</v>
      </c>
    </row>
    <row r="19" spans="1:14" ht="15" customHeight="1" x14ac:dyDescent="0.25">
      <c r="B19" s="9" t="str">
        <f>Base!G8</f>
        <v>15 Elaboration de la strategie de test</v>
      </c>
      <c r="C19" s="52" t="str">
        <f>A$3</f>
        <v>Prévu (périodes)</v>
      </c>
      <c r="D19" s="83">
        <v>6.25E-2</v>
      </c>
      <c r="E19" s="53"/>
      <c r="F19" s="83"/>
      <c r="G19" s="53"/>
      <c r="H19" s="83"/>
      <c r="I19" s="54"/>
      <c r="J19" s="84"/>
      <c r="K19" s="54"/>
      <c r="L19" s="85"/>
      <c r="M19" s="53"/>
      <c r="N19" s="55">
        <f t="shared" si="2"/>
        <v>6.25E-2</v>
      </c>
    </row>
    <row r="20" spans="1:14" ht="15" customHeight="1" thickBot="1" x14ac:dyDescent="0.3">
      <c r="B20" s="56"/>
      <c r="C20" s="57" t="str">
        <f>A$4</f>
        <v>Effectif</v>
      </c>
      <c r="D20" s="58">
        <v>8.3333333333333329E-2</v>
      </c>
      <c r="E20" s="59"/>
      <c r="F20" s="58">
        <f>SUMIFS(' Journal de Bord'!$D$4:$D$8367,' Journal de Bord'!$B$4:$B$8367,F$5,' Journal de Bord'!$C$4:$C$8367,$B19)</f>
        <v>0</v>
      </c>
      <c r="G20" s="59"/>
      <c r="H20" s="58">
        <f>SUMIFS(' Journal de Bord'!$D$4:$D$8367,' Journal de Bord'!$B$4:$B$8367,H$5,' Journal de Bord'!$C$4:$C$8367,$B19)</f>
        <v>0</v>
      </c>
      <c r="I20" s="60"/>
      <c r="J20" s="58"/>
      <c r="K20" s="60"/>
      <c r="L20" s="58">
        <f>SUMIFS(' Journal de Bord'!$D$4:$D$8367,' Journal de Bord'!$B$4:$B$8367,L$5,' Journal de Bord'!$C$4:$C$8367,$B19)</f>
        <v>0</v>
      </c>
      <c r="M20" s="59"/>
      <c r="N20" s="61">
        <f t="shared" si="2"/>
        <v>8.3333333333333329E-2</v>
      </c>
    </row>
    <row r="21" spans="1:14" ht="15" customHeight="1" x14ac:dyDescent="0.25">
      <c r="B21" s="9" t="str">
        <f>Base!G9</f>
        <v>16 -</v>
      </c>
      <c r="C21" s="52" t="str">
        <f>A$3</f>
        <v>Prévu (périodes)</v>
      </c>
      <c r="D21" s="83"/>
      <c r="E21" s="53"/>
      <c r="F21" s="83"/>
      <c r="G21" s="53"/>
      <c r="H21" s="83"/>
      <c r="I21" s="54"/>
      <c r="J21" s="84"/>
      <c r="K21" s="54"/>
      <c r="L21" s="85"/>
      <c r="M21" s="53"/>
      <c r="N21" s="55" t="str">
        <f t="shared" si="2"/>
        <v/>
      </c>
    </row>
    <row r="22" spans="1:14" ht="15" customHeight="1" thickBot="1" x14ac:dyDescent="0.3">
      <c r="B22" s="56"/>
      <c r="C22" s="57" t="str">
        <f>A$4</f>
        <v>Effectif</v>
      </c>
      <c r="D22" s="58"/>
      <c r="E22" s="59"/>
      <c r="F22" s="58"/>
      <c r="G22" s="59"/>
      <c r="H22" s="58"/>
      <c r="I22" s="60"/>
      <c r="J22" s="58">
        <f>SUMIFS(' Journal de Bord'!$D$4:$D$8367,' Journal de Bord'!$B$4:$B$8367,J$5,' Journal de Bord'!$C$4:$C$8367,$B21)</f>
        <v>0</v>
      </c>
      <c r="K22" s="60"/>
      <c r="L22" s="58">
        <f>SUMIFS(' Journal de Bord'!$D$4:$D$8367,' Journal de Bord'!$B$4:$B$8367,L$5,' Journal de Bord'!$C$4:$C$8367,$B21)</f>
        <v>0</v>
      </c>
      <c r="M22" s="59"/>
      <c r="N22" s="61" t="str">
        <f t="shared" si="2"/>
        <v/>
      </c>
    </row>
    <row r="23" spans="1:14" ht="20.25" x14ac:dyDescent="0.25">
      <c r="A23" s="10" t="str">
        <f>Base!F10</f>
        <v>2   Mise en place</v>
      </c>
      <c r="B23" s="62"/>
      <c r="C23" s="62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47">
        <f>SUMIF($C25:$C36,$C25,N25:N36)</f>
        <v>0.25347222222222221</v>
      </c>
    </row>
    <row r="24" spans="1:14" ht="15" customHeight="1" thickBot="1" x14ac:dyDescent="0.3">
      <c r="A24" s="64"/>
      <c r="B24" s="65"/>
      <c r="C24" s="65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51">
        <f>SUMIF($C25:$C36,$C26,N25:N36)</f>
        <v>0.3298611111111111</v>
      </c>
    </row>
    <row r="25" spans="1:14" ht="15" customHeight="1" x14ac:dyDescent="0.25">
      <c r="B25" s="9" t="str">
        <f>Base!G10</f>
        <v>21 Création des Wireframes et autre asset graphique</v>
      </c>
      <c r="C25" s="52" t="str">
        <f>A$3</f>
        <v>Prévu (périodes)</v>
      </c>
      <c r="D25" s="83">
        <v>2.0833333333333332E-2</v>
      </c>
      <c r="E25" s="53"/>
      <c r="F25" s="83">
        <v>4.1666666666666664E-2</v>
      </c>
      <c r="G25" s="53"/>
      <c r="H25" s="83"/>
      <c r="I25" s="54"/>
      <c r="J25" s="84"/>
      <c r="K25" s="54"/>
      <c r="L25" s="85"/>
      <c r="M25" s="53"/>
      <c r="N25" s="55">
        <f>IF(SUM(D25:M25)=0,"",SUM(D25:M25))</f>
        <v>6.25E-2</v>
      </c>
    </row>
    <row r="26" spans="1:14" ht="15" customHeight="1" thickBot="1" x14ac:dyDescent="0.3">
      <c r="B26" s="56"/>
      <c r="C26" s="57" t="str">
        <f>A$4</f>
        <v>Effectif</v>
      </c>
      <c r="D26" s="58">
        <v>3.4722222222222224E-2</v>
      </c>
      <c r="E26" s="59"/>
      <c r="F26" s="58">
        <v>0.10416666666666667</v>
      </c>
      <c r="G26" s="59"/>
      <c r="H26" s="58">
        <f>SUMIFS(' Journal de Bord'!$D$4:$D$8367,' Journal de Bord'!$B$4:$B$8367,H$5,' Journal de Bord'!$C$4:$C$8367,$B25)</f>
        <v>0</v>
      </c>
      <c r="I26" s="60"/>
      <c r="J26" s="58"/>
      <c r="K26" s="60"/>
      <c r="L26" s="58"/>
      <c r="M26" s="59"/>
      <c r="N26" s="61">
        <f>IF(SUM(D26:M26)=0,"",SUM(D26:M26))</f>
        <v>0.1388888888888889</v>
      </c>
    </row>
    <row r="27" spans="1:14" ht="15" customHeight="1" x14ac:dyDescent="0.25">
      <c r="B27" s="9" t="str">
        <f>Base!G11</f>
        <v xml:space="preserve">22 Création des View </v>
      </c>
      <c r="C27" s="52" t="str">
        <f>A$3</f>
        <v>Prévu (périodes)</v>
      </c>
      <c r="D27" s="83">
        <v>4.1666666666666664E-2</v>
      </c>
      <c r="E27" s="53"/>
      <c r="F27" s="83"/>
      <c r="G27" s="53"/>
      <c r="H27" s="83"/>
      <c r="I27" s="54"/>
      <c r="J27" s="84"/>
      <c r="K27" s="54"/>
      <c r="L27" s="85"/>
      <c r="M27" s="53"/>
      <c r="N27" s="55">
        <f>IF(SUM(D27:M27)=0,"",SUM(D27:M27))</f>
        <v>4.1666666666666664E-2</v>
      </c>
    </row>
    <row r="28" spans="1:14" ht="15" customHeight="1" thickBot="1" x14ac:dyDescent="0.3">
      <c r="B28" s="56"/>
      <c r="C28" s="57" t="str">
        <f>A$4</f>
        <v>Effectif</v>
      </c>
      <c r="D28" s="58">
        <v>1.3888888888888888E-2</v>
      </c>
      <c r="E28" s="59"/>
      <c r="F28" s="58">
        <v>5.5555555555555552E-2</v>
      </c>
      <c r="G28" s="59"/>
      <c r="H28" s="58">
        <f>SUMIFS(' Journal de Bord'!$D$4:$D$8367,' Journal de Bord'!$B$4:$B$8367,H$5,' Journal de Bord'!$C$4:$C$8367,$B27)</f>
        <v>0</v>
      </c>
      <c r="I28" s="60"/>
      <c r="J28" s="58"/>
      <c r="K28" s="60"/>
      <c r="L28" s="58">
        <f>SUMIFS(' Journal de Bord'!$D$4:$D$8367,' Journal de Bord'!$B$4:$B$8367,L$5,' Journal de Bord'!$C$4:$C$8367,$B27)</f>
        <v>0</v>
      </c>
      <c r="M28" s="59"/>
      <c r="N28" s="61">
        <f t="shared" ref="N28:N36" si="3">IF(SUM(D28:M28)=0,"",SUM(D28:M28))</f>
        <v>6.9444444444444448E-2</v>
      </c>
    </row>
    <row r="29" spans="1:14" ht="15" customHeight="1" x14ac:dyDescent="0.25">
      <c r="B29" s="9" t="str">
        <f>Base!G12</f>
        <v>23 Lier la base de donnée</v>
      </c>
      <c r="C29" s="52" t="str">
        <f>A$3</f>
        <v>Prévu (périodes)</v>
      </c>
      <c r="D29" s="83">
        <v>1.3888888888888888E-2</v>
      </c>
      <c r="E29" s="53"/>
      <c r="F29" s="83"/>
      <c r="G29" s="53"/>
      <c r="H29" s="83"/>
      <c r="I29" s="54"/>
      <c r="J29" s="84"/>
      <c r="K29" s="54"/>
      <c r="L29" s="85"/>
      <c r="M29" s="53"/>
      <c r="N29" s="55">
        <f t="shared" si="3"/>
        <v>1.3888888888888888E-2</v>
      </c>
    </row>
    <row r="30" spans="1:14" ht="15" customHeight="1" thickBot="1" x14ac:dyDescent="0.3">
      <c r="B30" s="56"/>
      <c r="C30" s="57" t="str">
        <f>A$4</f>
        <v>Effectif</v>
      </c>
      <c r="D30" s="58">
        <v>3.472222222222222E-3</v>
      </c>
      <c r="E30" s="59"/>
      <c r="F30" s="58">
        <f>SUMIFS(' Journal de Bord'!$D$4:$D$8367,' Journal de Bord'!$B$4:$B$8367,F$5,' Journal de Bord'!$C$4:$C$8367,$B29)</f>
        <v>0</v>
      </c>
      <c r="G30" s="59"/>
      <c r="H30" s="58">
        <f>SUMIFS(' Journal de Bord'!$D$4:$D$8367,' Journal de Bord'!$B$4:$B$8367,H$5,' Journal de Bord'!$C$4:$C$8367,$B29)</f>
        <v>0</v>
      </c>
      <c r="I30" s="60"/>
      <c r="J30" s="58">
        <f>SUMIFS(' Journal de Bord'!$D$4:$D$8367,' Journal de Bord'!$B$4:$B$8367,J$5,' Journal de Bord'!$C$4:$C$8367,$B29)</f>
        <v>0</v>
      </c>
      <c r="K30" s="60"/>
      <c r="L30" s="58"/>
      <c r="M30" s="59"/>
      <c r="N30" s="61">
        <f t="shared" si="3"/>
        <v>3.472222222222222E-3</v>
      </c>
    </row>
    <row r="31" spans="1:14" ht="15" customHeight="1" x14ac:dyDescent="0.25">
      <c r="B31" s="9" t="str">
        <f>Base!G13</f>
        <v xml:space="preserve">24 Création dépot Git </v>
      </c>
      <c r="C31" s="52" t="str">
        <f>A$3</f>
        <v>Prévu (périodes)</v>
      </c>
      <c r="D31" s="83">
        <v>1.0416666666666666E-2</v>
      </c>
      <c r="E31" s="53"/>
      <c r="F31" s="83"/>
      <c r="G31" s="53"/>
      <c r="H31" s="83"/>
      <c r="I31" s="54"/>
      <c r="J31" s="84"/>
      <c r="K31" s="54"/>
      <c r="L31" s="85"/>
      <c r="M31" s="53"/>
      <c r="N31" s="55">
        <f t="shared" si="3"/>
        <v>1.0416666666666666E-2</v>
      </c>
    </row>
    <row r="32" spans="1:14" ht="15" customHeight="1" thickBot="1" x14ac:dyDescent="0.3">
      <c r="B32" s="56"/>
      <c r="C32" s="57" t="str">
        <f>A$4</f>
        <v>Effectif</v>
      </c>
      <c r="D32" s="58">
        <v>1.3888888888888888E-2</v>
      </c>
      <c r="E32" s="59"/>
      <c r="F32" s="58"/>
      <c r="G32" s="59"/>
      <c r="H32" s="58">
        <f>SUMIFS(' Journal de Bord'!$D$4:$D$8367,' Journal de Bord'!$B$4:$B$8367,H$5,' Journal de Bord'!$C$4:$C$8367,$B31)</f>
        <v>0</v>
      </c>
      <c r="I32" s="60"/>
      <c r="J32" s="58">
        <f>SUMIFS(' Journal de Bord'!$D$4:$D$8367,' Journal de Bord'!$B$4:$B$8367,J$5,' Journal de Bord'!$C$4:$C$8367,$B31)</f>
        <v>0</v>
      </c>
      <c r="K32" s="60"/>
      <c r="L32" s="58">
        <f>SUMIFS(' Journal de Bord'!$D$4:$D$8367,' Journal de Bord'!$B$4:$B$8367,L$5,' Journal de Bord'!$C$4:$C$8367,$B31)</f>
        <v>0</v>
      </c>
      <c r="M32" s="59"/>
      <c r="N32" s="61">
        <f t="shared" si="3"/>
        <v>1.3888888888888888E-2</v>
      </c>
    </row>
    <row r="33" spans="1:14" ht="15" customHeight="1" x14ac:dyDescent="0.25">
      <c r="B33" s="9" t="str">
        <f>Base!G14</f>
        <v>25 Mise en place du Icescrum</v>
      </c>
      <c r="C33" s="52" t="str">
        <f>A$3</f>
        <v>Prévu (périodes)</v>
      </c>
      <c r="D33" s="83">
        <v>8.3333333333333329E-2</v>
      </c>
      <c r="E33" s="53"/>
      <c r="F33" s="83"/>
      <c r="G33" s="53"/>
      <c r="H33" s="83"/>
      <c r="I33" s="54"/>
      <c r="J33" s="84"/>
      <c r="K33" s="54"/>
      <c r="L33" s="85"/>
      <c r="M33" s="53"/>
      <c r="N33" s="55">
        <f t="shared" si="3"/>
        <v>8.3333333333333329E-2</v>
      </c>
    </row>
    <row r="34" spans="1:14" ht="15" customHeight="1" thickBot="1" x14ac:dyDescent="0.3">
      <c r="B34" s="56"/>
      <c r="C34" s="57" t="str">
        <f>A$4</f>
        <v>Effectif</v>
      </c>
      <c r="D34" s="58">
        <v>8.3333333333333329E-2</v>
      </c>
      <c r="E34" s="59"/>
      <c r="F34" s="58">
        <f>SUMIFS(' Journal de Bord'!$D$4:$D$8367,' Journal de Bord'!$B$4:$B$8367,F$5,' Journal de Bord'!$C$4:$C$8367,$B33)</f>
        <v>0</v>
      </c>
      <c r="G34" s="59"/>
      <c r="H34" s="58">
        <f>SUMIFS(' Journal de Bord'!$D$4:$D$8367,' Journal de Bord'!$B$4:$B$8367,H$5,' Journal de Bord'!$C$4:$C$8367,$B33)</f>
        <v>0</v>
      </c>
      <c r="I34" s="60"/>
      <c r="J34" s="58">
        <f>SUMIFS(' Journal de Bord'!$D$4:$D$8367,' Journal de Bord'!$B$4:$B$8367,J$5,' Journal de Bord'!$C$4:$C$8367,$B33)</f>
        <v>0</v>
      </c>
      <c r="K34" s="60"/>
      <c r="L34" s="58">
        <f>SUMIFS(' Journal de Bord'!$D$4:$D$8367,' Journal de Bord'!$B$4:$B$8367,L$5,' Journal de Bord'!$C$4:$C$8367,$B33)</f>
        <v>0</v>
      </c>
      <c r="M34" s="59"/>
      <c r="N34" s="61">
        <f t="shared" si="3"/>
        <v>8.3333333333333329E-2</v>
      </c>
    </row>
    <row r="35" spans="1:14" ht="15" customHeight="1" x14ac:dyDescent="0.25">
      <c r="B35" s="9" t="str">
        <f>Base!G15</f>
        <v>26 Création des routes</v>
      </c>
      <c r="C35" s="52" t="str">
        <f>A$3</f>
        <v>Prévu (périodes)</v>
      </c>
      <c r="D35" s="83">
        <v>4.1666666666666664E-2</v>
      </c>
      <c r="E35" s="53"/>
      <c r="F35" s="83"/>
      <c r="G35" s="53"/>
      <c r="H35" s="83"/>
      <c r="I35" s="54"/>
      <c r="J35" s="84"/>
      <c r="K35" s="54"/>
      <c r="L35" s="85"/>
      <c r="M35" s="53"/>
      <c r="N35" s="55">
        <f t="shared" si="3"/>
        <v>4.1666666666666664E-2</v>
      </c>
    </row>
    <row r="36" spans="1:14" ht="15" customHeight="1" thickBot="1" x14ac:dyDescent="0.3">
      <c r="B36" s="56"/>
      <c r="C36" s="57" t="str">
        <f>A$4</f>
        <v>Effectif</v>
      </c>
      <c r="D36" s="58">
        <v>6.9444444444444441E-3</v>
      </c>
      <c r="E36" s="59"/>
      <c r="F36" s="58">
        <v>1.3888888888888888E-2</v>
      </c>
      <c r="G36" s="59"/>
      <c r="H36" s="58">
        <f>SUMIFS(' Journal de Bord'!$D$4:$D$8367,' Journal de Bord'!$B$4:$B$8367,H$5,' Journal de Bord'!$C$4:$C$8367,$B35)</f>
        <v>0</v>
      </c>
      <c r="I36" s="60"/>
      <c r="J36" s="58">
        <f>SUMIFS(' Journal de Bord'!$D$4:$D$8367,' Journal de Bord'!$B$4:$B$8367,J$5,' Journal de Bord'!$C$4:$C$8367,$B35)</f>
        <v>0</v>
      </c>
      <c r="K36" s="60"/>
      <c r="L36" s="58">
        <f>SUMIFS(' Journal de Bord'!$D$4:$D$8367,' Journal de Bord'!$B$4:$B$8367,L$5,' Journal de Bord'!$C$4:$C$8367,$B35)</f>
        <v>0</v>
      </c>
      <c r="M36" s="59"/>
      <c r="N36" s="61">
        <f t="shared" si="3"/>
        <v>2.0833333333333332E-2</v>
      </c>
    </row>
    <row r="37" spans="1:14" ht="20.25" x14ac:dyDescent="0.25">
      <c r="A37" s="12" t="str">
        <f>Base!F16</f>
        <v>3 Algorithmie</v>
      </c>
      <c r="B37" s="67"/>
      <c r="C37" s="67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47">
        <f>SUMIF($C39:$C54,$C39,N39:N54)</f>
        <v>1.5347222222222221</v>
      </c>
    </row>
    <row r="38" spans="1:14" ht="15" customHeight="1" thickBot="1" x14ac:dyDescent="0.3">
      <c r="A38" s="69"/>
      <c r="B38" s="70"/>
      <c r="C38" s="70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51">
        <f>SUMIF($C39:$C54,$C40,N39:N54)</f>
        <v>0.97222222222222232</v>
      </c>
    </row>
    <row r="39" spans="1:14" ht="15" customHeight="1" x14ac:dyDescent="0.25">
      <c r="B39" s="9" t="str">
        <f>Base!G16</f>
        <v>31 Création du Register/ Login</v>
      </c>
      <c r="C39" s="52" t="str">
        <f>A$3</f>
        <v>Prévu (périodes)</v>
      </c>
      <c r="D39" s="83">
        <v>2.0833333333333332E-2</v>
      </c>
      <c r="E39" s="53"/>
      <c r="F39" s="83"/>
      <c r="G39" s="53"/>
      <c r="H39" s="83"/>
      <c r="I39" s="54"/>
      <c r="J39" s="84"/>
      <c r="K39" s="54"/>
      <c r="L39" s="85"/>
      <c r="M39" s="53"/>
      <c r="N39" s="55">
        <f t="shared" ref="N39:N58" si="4">IF(SUM(D39:M39)=0,"",SUM(D39:M39))</f>
        <v>2.0833333333333332E-2</v>
      </c>
    </row>
    <row r="40" spans="1:14" ht="15" customHeight="1" thickBot="1" x14ac:dyDescent="0.3">
      <c r="B40" s="56"/>
      <c r="C40" s="57" t="str">
        <f>A$4</f>
        <v>Effectif</v>
      </c>
      <c r="D40" s="58">
        <v>3.4722222222222224E-2</v>
      </c>
      <c r="E40" s="59"/>
      <c r="F40" s="58">
        <f>SUMIFS(' Journal de Bord'!$D$4:$D$8367,' Journal de Bord'!$B$4:$B$8367,F$5,' Journal de Bord'!$C$4:$C$8367,$B39)</f>
        <v>0</v>
      </c>
      <c r="G40" s="59"/>
      <c r="H40" s="58">
        <f>SUMIFS(' Journal de Bord'!$D$4:$D$8367,' Journal de Bord'!$B$4:$B$8367,H$5,' Journal de Bord'!$C$4:$C$8367,$B39)</f>
        <v>0</v>
      </c>
      <c r="I40" s="60"/>
      <c r="J40" s="58">
        <f>SUMIFS(' Journal de Bord'!$D$4:$D$8367,' Journal de Bord'!$B$4:$B$8367,J$5,' Journal de Bord'!$C$4:$C$8367,$B39)</f>
        <v>0</v>
      </c>
      <c r="K40" s="60"/>
      <c r="L40" s="58">
        <f>SUMIFS(' Journal de Bord'!$D$4:$D$8367,' Journal de Bord'!$B$4:$B$8367,L$5,' Journal de Bord'!$C$4:$C$8367,$B39)</f>
        <v>0</v>
      </c>
      <c r="M40" s="59"/>
      <c r="N40" s="61">
        <f t="shared" si="4"/>
        <v>3.4722222222222224E-2</v>
      </c>
    </row>
    <row r="41" spans="1:14" ht="15" customHeight="1" x14ac:dyDescent="0.25">
      <c r="B41" s="9" t="str">
        <f>Base!G17</f>
        <v>32 Phasing utlisateurs</v>
      </c>
      <c r="C41" s="52" t="str">
        <f>A$3</f>
        <v>Prévu (périodes)</v>
      </c>
      <c r="D41" s="83">
        <v>6.9444444444444441E-3</v>
      </c>
      <c r="E41" s="53"/>
      <c r="F41" s="83"/>
      <c r="G41" s="53"/>
      <c r="H41" s="83"/>
      <c r="I41" s="54"/>
      <c r="J41" s="84"/>
      <c r="K41" s="54"/>
      <c r="L41" s="85"/>
      <c r="M41" s="53"/>
      <c r="N41" s="55">
        <f t="shared" si="4"/>
        <v>6.9444444444444441E-3</v>
      </c>
    </row>
    <row r="42" spans="1:14" ht="15" customHeight="1" thickBot="1" x14ac:dyDescent="0.3">
      <c r="B42" s="56"/>
      <c r="C42" s="57" t="str">
        <f>A$4</f>
        <v>Effectif</v>
      </c>
      <c r="D42" s="58">
        <v>6.9444444444444441E-3</v>
      </c>
      <c r="E42" s="59"/>
      <c r="F42" s="58">
        <f>SUMIFS(' Journal de Bord'!$D$4:$D$8367,' Journal de Bord'!$B$4:$B$8367,F$5,' Journal de Bord'!$C$4:$C$8367,$B41)</f>
        <v>0</v>
      </c>
      <c r="G42" s="59"/>
      <c r="H42" s="58">
        <f>SUMIFS(' Journal de Bord'!$D$4:$D$8367,' Journal de Bord'!$B$4:$B$8367,H$5,' Journal de Bord'!$C$4:$C$8367,$B41)</f>
        <v>0</v>
      </c>
      <c r="I42" s="60"/>
      <c r="J42" s="58">
        <f>SUMIFS(' Journal de Bord'!$D$4:$D$8367,' Journal de Bord'!$B$4:$B$8367,J$5,' Journal de Bord'!$C$4:$C$8367,$B41)</f>
        <v>0</v>
      </c>
      <c r="K42" s="60"/>
      <c r="L42" s="58"/>
      <c r="M42" s="59"/>
      <c r="N42" s="61">
        <f t="shared" si="4"/>
        <v>6.9444444444444441E-3</v>
      </c>
    </row>
    <row r="43" spans="1:14" ht="15" customHeight="1" x14ac:dyDescent="0.25">
      <c r="B43" s="9" t="str">
        <f>Base!G18</f>
        <v xml:space="preserve">33 Norme d'encodage d'un labyrinthe </v>
      </c>
      <c r="C43" s="52" t="str">
        <f>A$3</f>
        <v>Prévu (périodes)</v>
      </c>
      <c r="D43" s="83"/>
      <c r="E43" s="53"/>
      <c r="F43" s="83">
        <v>8.3333333333333329E-2</v>
      </c>
      <c r="G43" s="53"/>
      <c r="H43" s="83"/>
      <c r="I43" s="54"/>
      <c r="J43" s="84"/>
      <c r="K43" s="54"/>
      <c r="L43" s="85"/>
      <c r="M43" s="53"/>
      <c r="N43" s="55">
        <f>IF(SUM(D43:M43)=0,"",SUM(D43:M43))</f>
        <v>8.3333333333333329E-2</v>
      </c>
    </row>
    <row r="44" spans="1:14" ht="15" customHeight="1" thickBot="1" x14ac:dyDescent="0.3">
      <c r="B44" s="56"/>
      <c r="C44" s="57" t="str">
        <f>A$4</f>
        <v>Effectif</v>
      </c>
      <c r="D44" s="58">
        <f>SUMIFS(' Journal de Bord'!$D$4:$D$8367,' Journal de Bord'!$B$4:$B$8367,D$5,' Journal de Bord'!$C$4:$C$8367,$B43)</f>
        <v>0</v>
      </c>
      <c r="E44" s="59"/>
      <c r="F44" s="58">
        <v>4.1666666666666664E-2</v>
      </c>
      <c r="G44" s="59"/>
      <c r="H44" s="58">
        <f>SUMIFS(' Journal de Bord'!$D$4:$D$8367,' Journal de Bord'!$B$4:$B$8367,H$5,' Journal de Bord'!$C$4:$C$8367,$B43)</f>
        <v>0</v>
      </c>
      <c r="I44" s="60"/>
      <c r="J44" s="58">
        <f>SUMIFS(' Journal de Bord'!$D$4:$D$8367,' Journal de Bord'!$B$4:$B$8367,J$5,' Journal de Bord'!$C$4:$C$8367,$B43)</f>
        <v>0</v>
      </c>
      <c r="K44" s="60"/>
      <c r="L44" s="58">
        <f>SUMIFS(' Journal de Bord'!$D$4:$D$8367,' Journal de Bord'!$B$4:$B$8367,L$5,' Journal de Bord'!$C$4:$C$8367,$B43)</f>
        <v>0</v>
      </c>
      <c r="M44" s="59"/>
      <c r="N44" s="61">
        <f t="shared" si="4"/>
        <v>4.1666666666666664E-2</v>
      </c>
    </row>
    <row r="45" spans="1:14" ht="15" customHeight="1" x14ac:dyDescent="0.25">
      <c r="B45" s="9" t="str">
        <f>Base!G19</f>
        <v>34 Algorithme d'encodage et de décodage d'un labyrinthe</v>
      </c>
      <c r="C45" s="52" t="str">
        <f>A$3</f>
        <v>Prévu (périodes)</v>
      </c>
      <c r="D45" s="83"/>
      <c r="E45" s="53"/>
      <c r="F45" s="83">
        <v>0.12152777777777778</v>
      </c>
      <c r="G45" s="53"/>
      <c r="H45" s="83"/>
      <c r="I45" s="54"/>
      <c r="J45" s="84"/>
      <c r="K45" s="54"/>
      <c r="L45" s="85"/>
      <c r="M45" s="53"/>
      <c r="N45" s="55">
        <f t="shared" si="4"/>
        <v>0.12152777777777778</v>
      </c>
    </row>
    <row r="46" spans="1:14" ht="15" customHeight="1" thickBot="1" x14ac:dyDescent="0.3">
      <c r="B46" s="56"/>
      <c r="C46" s="57" t="str">
        <f>A$4</f>
        <v>Effectif</v>
      </c>
      <c r="D46" s="58">
        <f>SUMIFS(' Journal de Bord'!$D$4:$D$8367,' Journal de Bord'!$B$4:$B$8367,D$5,' Journal de Bord'!$C$4:$C$8367,$B45)</f>
        <v>0</v>
      </c>
      <c r="E46" s="59"/>
      <c r="F46" s="58">
        <v>4.1666666666666664E-2</v>
      </c>
      <c r="G46" s="59"/>
      <c r="H46" s="58">
        <f>SUMIFS(' Journal de Bord'!$D$4:$D$8367,' Journal de Bord'!$B$4:$B$8367,H$5,' Journal de Bord'!$C$4:$C$8367,$B45)</f>
        <v>0</v>
      </c>
      <c r="I46" s="60"/>
      <c r="J46" s="58">
        <f>SUMIFS(' Journal de Bord'!$D$4:$D$8367,' Journal de Bord'!$B$4:$B$8367,J$5,' Journal de Bord'!$C$4:$C$8367,$B45)</f>
        <v>0</v>
      </c>
      <c r="K46" s="60"/>
      <c r="L46" s="58">
        <f>SUMIFS(' Journal de Bord'!$D$4:$D$8367,' Journal de Bord'!$B$4:$B$8367,L$5,' Journal de Bord'!$C$4:$C$8367,$B45)</f>
        <v>0</v>
      </c>
      <c r="M46" s="59"/>
      <c r="N46" s="61">
        <f t="shared" si="4"/>
        <v>4.1666666666666664E-2</v>
      </c>
    </row>
    <row r="47" spans="1:14" ht="15" customHeight="1" x14ac:dyDescent="0.25">
      <c r="B47" s="9" t="str">
        <f>Base!G20</f>
        <v>35 Interface de création d'un labyrinthe</v>
      </c>
      <c r="C47" s="52" t="str">
        <f>A$3</f>
        <v>Prévu (périodes)</v>
      </c>
      <c r="D47" s="83"/>
      <c r="E47" s="53"/>
      <c r="F47" s="83">
        <v>0.25</v>
      </c>
      <c r="G47" s="53"/>
      <c r="H47" s="83"/>
      <c r="I47" s="54"/>
      <c r="J47" s="84"/>
      <c r="K47" s="54"/>
      <c r="L47" s="85"/>
      <c r="M47" s="53"/>
      <c r="N47" s="55">
        <f t="shared" si="4"/>
        <v>0.25</v>
      </c>
    </row>
    <row r="48" spans="1:14" ht="15" customHeight="1" thickBot="1" x14ac:dyDescent="0.3">
      <c r="B48" s="56"/>
      <c r="C48" s="57" t="str">
        <f>A$4</f>
        <v>Effectif</v>
      </c>
      <c r="D48" s="58">
        <f>SUMIFS(' Journal de Bord'!$D$4:$D$8367,' Journal de Bord'!$B$4:$B$8367,D$5,' Journal de Bord'!$C$4:$C$8367,$B47)</f>
        <v>0</v>
      </c>
      <c r="E48" s="59"/>
      <c r="F48" s="58">
        <v>0.34722222222222227</v>
      </c>
      <c r="G48" s="59"/>
      <c r="H48" s="58">
        <v>8.3333333333333329E-2</v>
      </c>
      <c r="I48" s="60"/>
      <c r="J48" s="58">
        <f>SUMIFS(' Journal de Bord'!$D$4:$D$8367,' Journal de Bord'!$B$4:$B$8367,J$5,' Journal de Bord'!$C$4:$C$8367,$B47)</f>
        <v>0</v>
      </c>
      <c r="K48" s="60"/>
      <c r="L48" s="58">
        <f>SUMIFS(' Journal de Bord'!$D$4:$D$8367,' Journal de Bord'!$B$4:$B$8367,L$5,' Journal de Bord'!$C$4:$C$8367,$B47)</f>
        <v>0</v>
      </c>
      <c r="M48" s="59"/>
      <c r="N48" s="61">
        <f t="shared" si="4"/>
        <v>0.43055555555555558</v>
      </c>
    </row>
    <row r="49" spans="1:14" ht="15" customHeight="1" x14ac:dyDescent="0.25">
      <c r="B49" s="9" t="str">
        <f>Base!G21</f>
        <v>36 Algorithme de resolution d'un labyrinthe</v>
      </c>
      <c r="C49" s="52" t="str">
        <f>A$3</f>
        <v>Prévu (périodes)</v>
      </c>
      <c r="D49" s="83"/>
      <c r="E49" s="53"/>
      <c r="F49" s="83">
        <v>0.16666666666666666</v>
      </c>
      <c r="G49" s="53"/>
      <c r="H49" s="83">
        <v>0.13541666666666666</v>
      </c>
      <c r="I49" s="54"/>
      <c r="J49" s="84"/>
      <c r="K49" s="54"/>
      <c r="L49" s="85"/>
      <c r="M49" s="53"/>
      <c r="N49" s="55">
        <f t="shared" si="4"/>
        <v>0.30208333333333331</v>
      </c>
    </row>
    <row r="50" spans="1:14" ht="15" customHeight="1" thickBot="1" x14ac:dyDescent="0.3">
      <c r="B50" s="9"/>
      <c r="C50" s="57" t="str">
        <f>A$4</f>
        <v>Effectif</v>
      </c>
      <c r="D50" s="58">
        <f>SUMIFS(' Journal de Bord'!$D$4:$D$8367,' Journal de Bord'!$B$4:$B$8367,D$5,' Journal de Bord'!$C$4:$C$8367,$B49)</f>
        <v>0</v>
      </c>
      <c r="E50" s="59"/>
      <c r="F50" s="58">
        <f>SUMIFS(' Journal de Bord'!$D$4:$D$8367,' Journal de Bord'!$B$4:$B$8367,F$5,' Journal de Bord'!$C$4:$C$8367,$B49)</f>
        <v>0</v>
      </c>
      <c r="G50" s="59"/>
      <c r="H50" s="58">
        <v>0.35416666666666669</v>
      </c>
      <c r="I50" s="60"/>
      <c r="J50" s="58">
        <v>4.1666666666666664E-2</v>
      </c>
      <c r="K50" s="60"/>
      <c r="L50" s="58">
        <f>SUMIFS(' Journal de Bord'!$D$4:$D$8367,' Journal de Bord'!$B$4:$B$8367,L$5,' Journal de Bord'!$C$4:$C$8367,$B49)</f>
        <v>0</v>
      </c>
      <c r="M50" s="59"/>
      <c r="N50" s="61">
        <f t="shared" si="4"/>
        <v>0.39583333333333337</v>
      </c>
    </row>
    <row r="51" spans="1:14" ht="15" customHeight="1" x14ac:dyDescent="0.25">
      <c r="B51" s="9" t="str">
        <f>Base!G22</f>
        <v>37 Algorithme de création d'un labyrinthe</v>
      </c>
      <c r="C51" s="52" t="str">
        <f>A$3</f>
        <v>Prévu (périodes)</v>
      </c>
      <c r="D51" s="83"/>
      <c r="E51" s="53"/>
      <c r="F51" s="83"/>
      <c r="G51" s="53"/>
      <c r="H51" s="83">
        <v>0.25</v>
      </c>
      <c r="I51" s="54"/>
      <c r="J51" s="84">
        <v>0.41666666666666669</v>
      </c>
      <c r="K51" s="54"/>
      <c r="L51" s="85"/>
      <c r="M51" s="53"/>
      <c r="N51" s="55">
        <f t="shared" si="4"/>
        <v>0.66666666666666674</v>
      </c>
    </row>
    <row r="52" spans="1:14" ht="15" customHeight="1" thickBot="1" x14ac:dyDescent="0.3">
      <c r="B52" s="9"/>
      <c r="C52" s="57" t="str">
        <f>A$4</f>
        <v>Effectif</v>
      </c>
      <c r="D52" s="58">
        <f>SUMIFS(' Journal de Bord'!$D$4:$D$8367,' Journal de Bord'!$B$4:$B$8367,D$5,' Journal de Bord'!$C$4:$C$8367,$B51)</f>
        <v>0</v>
      </c>
      <c r="E52" s="59"/>
      <c r="F52" s="58">
        <f>SUMIFS(' Journal de Bord'!$D$4:$D$8367,' Journal de Bord'!$B$4:$B$8367,F$5,' Journal de Bord'!$C$4:$C$8367,$B51)</f>
        <v>0</v>
      </c>
      <c r="G52" s="59"/>
      <c r="H52" s="58">
        <f>SUMIFS(' Journal de Bord'!$D$4:$D$8367,' Journal de Bord'!$B$4:$B$8367,H$5,' Journal de Bord'!$C$4:$C$8367,$B51)</f>
        <v>0</v>
      </c>
      <c r="I52" s="60"/>
      <c r="J52" s="58">
        <f>SUMIFS(' Journal de Bord'!$D$4:$D$8367,' Journal de Bord'!$B$4:$B$8367,J$5,' Journal de Bord'!$C$4:$C$8367,$B51)</f>
        <v>0</v>
      </c>
      <c r="K52" s="60"/>
      <c r="L52" s="58">
        <f>SUMIFS(' Journal de Bord'!$D$4:$D$8367,' Journal de Bord'!$B$4:$B$8367,L$5,' Journal de Bord'!$C$4:$C$8367,$B51)</f>
        <v>0</v>
      </c>
      <c r="M52" s="59"/>
      <c r="N52" s="61" t="str">
        <f t="shared" si="4"/>
        <v/>
      </c>
    </row>
    <row r="53" spans="1:14" ht="15" customHeight="1" x14ac:dyDescent="0.25">
      <c r="B53" s="9" t="str">
        <f>Base!G23</f>
        <v>38 Création de l'historique des labyrinthes crées et resolus</v>
      </c>
      <c r="C53" s="52" t="str">
        <f>A$3</f>
        <v>Prévu (périodes)</v>
      </c>
      <c r="D53" s="83"/>
      <c r="E53" s="53"/>
      <c r="F53" s="83"/>
      <c r="G53" s="53"/>
      <c r="H53" s="83"/>
      <c r="I53" s="54"/>
      <c r="J53" s="84">
        <v>8.3333333333333329E-2</v>
      </c>
      <c r="K53" s="54"/>
      <c r="L53" s="85"/>
      <c r="M53" s="53"/>
      <c r="N53" s="55">
        <f t="shared" si="4"/>
        <v>8.3333333333333329E-2</v>
      </c>
    </row>
    <row r="54" spans="1:14" ht="15" customHeight="1" thickBot="1" x14ac:dyDescent="0.3">
      <c r="B54" s="56"/>
      <c r="C54" s="57" t="str">
        <f>A$4</f>
        <v>Effectif</v>
      </c>
      <c r="D54" s="58">
        <f>SUMIFS(' Journal de Bord'!$D$4:$D$8367,' Journal de Bord'!$B$4:$B$8367,D$5,' Journal de Bord'!$C$4:$C$8367,$B53)</f>
        <v>0</v>
      </c>
      <c r="E54" s="59"/>
      <c r="F54" s="58">
        <f>SUMIFS(' Journal de Bord'!$D$4:$D$8367,' Journal de Bord'!$B$4:$B$8367,F$5,' Journal de Bord'!$C$4:$C$8367,$B53)</f>
        <v>0</v>
      </c>
      <c r="G54" s="59"/>
      <c r="H54" s="58">
        <f>SUMIFS(' Journal de Bord'!$D$4:$D$8367,' Journal de Bord'!$B$4:$B$8367,H$5,' Journal de Bord'!$C$4:$C$8367,$B53)</f>
        <v>0</v>
      </c>
      <c r="I54" s="60"/>
      <c r="J54" s="58">
        <v>2.0833333333333332E-2</v>
      </c>
      <c r="K54" s="60"/>
      <c r="L54" s="58">
        <f>SUMIFS(' Journal de Bord'!$D$4:$D$8367,' Journal de Bord'!$B$4:$B$8367,L$5,' Journal de Bord'!$C$4:$C$8367,$B53)</f>
        <v>0</v>
      </c>
      <c r="M54" s="59"/>
      <c r="N54" s="61">
        <f t="shared" si="4"/>
        <v>2.0833333333333332E-2</v>
      </c>
    </row>
    <row r="55" spans="1:14" ht="15" customHeight="1" x14ac:dyDescent="0.25">
      <c r="B55" s="9" t="str">
        <f>Base!G24</f>
        <v>39 Herbergement</v>
      </c>
      <c r="C55" s="52" t="str">
        <f>A$3</f>
        <v>Prévu (périodes)</v>
      </c>
      <c r="D55" s="83">
        <v>2.0833333333333332E-2</v>
      </c>
      <c r="E55" s="53"/>
      <c r="F55" s="83">
        <v>2.0833333333333332E-2</v>
      </c>
      <c r="G55" s="53"/>
      <c r="H55" s="83">
        <v>2.0833333333333332E-2</v>
      </c>
      <c r="I55" s="54"/>
      <c r="J55" s="83">
        <v>2.0833333333333332E-2</v>
      </c>
      <c r="K55" s="54"/>
      <c r="L55" s="85"/>
      <c r="M55" s="53"/>
      <c r="N55" s="55">
        <f t="shared" si="4"/>
        <v>8.3333333333333329E-2</v>
      </c>
    </row>
    <row r="56" spans="1:14" ht="15" customHeight="1" thickBot="1" x14ac:dyDescent="0.3">
      <c r="B56" s="56"/>
      <c r="C56" s="57" t="str">
        <f>A$4</f>
        <v>Effectif</v>
      </c>
      <c r="D56" s="58">
        <v>0</v>
      </c>
      <c r="E56" s="59"/>
      <c r="F56" s="58">
        <v>2.0833333333333332E-2</v>
      </c>
      <c r="G56" s="59"/>
      <c r="H56" s="58">
        <v>4.1666666666666664E-2</v>
      </c>
      <c r="I56" s="60"/>
      <c r="J56" s="58">
        <f>SUMIFS(' Journal de Bord'!$D$4:$D$8367,' Journal de Bord'!$B$4:$B$8367,J$5,' Journal de Bord'!$C$4:$C$8367,$B55)</f>
        <v>0</v>
      </c>
      <c r="K56" s="60"/>
      <c r="L56" s="58">
        <f>SUMIFS(' Journal de Bord'!$D$4:$D$8367,' Journal de Bord'!$B$4:$B$8367,L$5,' Journal de Bord'!$C$4:$C$8367,$B55)</f>
        <v>0</v>
      </c>
      <c r="M56" s="59"/>
      <c r="N56" s="61">
        <f t="shared" si="4"/>
        <v>6.25E-2</v>
      </c>
    </row>
    <row r="57" spans="1:14" ht="15" customHeight="1" x14ac:dyDescent="0.25">
      <c r="B57" s="9" t="str">
        <f>Base!G25</f>
        <v>310 -</v>
      </c>
      <c r="C57" s="52" t="str">
        <f>A$3</f>
        <v>Prévu (périodes)</v>
      </c>
      <c r="D57" s="83"/>
      <c r="E57" s="53"/>
      <c r="F57" s="83"/>
      <c r="G57" s="53"/>
      <c r="H57" s="83"/>
      <c r="I57" s="54"/>
      <c r="J57" s="84"/>
      <c r="K57" s="54"/>
      <c r="L57" s="85"/>
      <c r="M57" s="53"/>
      <c r="N57" s="55" t="str">
        <f t="shared" si="4"/>
        <v/>
      </c>
    </row>
    <row r="58" spans="1:14" ht="15" customHeight="1" thickBot="1" x14ac:dyDescent="0.3">
      <c r="B58" s="56"/>
      <c r="C58" s="57" t="str">
        <f>A$4</f>
        <v>Effectif</v>
      </c>
      <c r="D58" s="58">
        <f>SUMIFS(' Journal de Bord'!$D$4:$D$8367,' Journal de Bord'!$B$4:$B$8367,D$5,' Journal de Bord'!$C$4:$C$8367,$B57)</f>
        <v>0</v>
      </c>
      <c r="E58" s="59"/>
      <c r="F58" s="58">
        <f>SUMIFS(' Journal de Bord'!$D$4:$D$8367,' Journal de Bord'!$B$4:$B$8367,F$5,' Journal de Bord'!$C$4:$C$8367,$B57)</f>
        <v>0</v>
      </c>
      <c r="G58" s="59"/>
      <c r="H58" s="58">
        <f>SUMIFS(' Journal de Bord'!$D$4:$D$8367,' Journal de Bord'!$B$4:$B$8367,H$5,' Journal de Bord'!$C$4:$C$8367,$B57)</f>
        <v>0</v>
      </c>
      <c r="I58" s="60"/>
      <c r="J58" s="58">
        <f>SUMIFS(' Journal de Bord'!$D$4:$D$8367,' Journal de Bord'!$B$4:$B$8367,J$5,' Journal de Bord'!$C$4:$C$8367,$B57)</f>
        <v>0</v>
      </c>
      <c r="K58" s="60"/>
      <c r="L58" s="58">
        <f>SUMIFS(' Journal de Bord'!$D$4:$D$8367,' Journal de Bord'!$B$4:$B$8367,L$5,' Journal de Bord'!$C$4:$C$8367,$B57)</f>
        <v>0</v>
      </c>
      <c r="M58" s="59"/>
      <c r="N58" s="61" t="str">
        <f t="shared" si="4"/>
        <v/>
      </c>
    </row>
    <row r="59" spans="1:14" ht="20.25" x14ac:dyDescent="0.25">
      <c r="A59" s="13" t="str">
        <f>Base!F26</f>
        <v>4 Tests</v>
      </c>
      <c r="B59" s="72"/>
      <c r="C59" s="72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47">
        <f>SUMIF($C61:$C72,$C61,N61:N72)</f>
        <v>0.60763888888888884</v>
      </c>
    </row>
    <row r="60" spans="1:14" ht="15" customHeight="1" thickBot="1" x14ac:dyDescent="0.3">
      <c r="A60" s="74"/>
      <c r="B60" s="75"/>
      <c r="C60" s="75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51">
        <f>SUMIF($C61:$C72,$C62,N61:N72)</f>
        <v>0.22916666666666666</v>
      </c>
    </row>
    <row r="61" spans="1:14" ht="15" customHeight="1" x14ac:dyDescent="0.25">
      <c r="B61" s="9" t="str">
        <f>Base!G26</f>
        <v>41 Tests scénario de la documentation initial</v>
      </c>
      <c r="C61" s="52" t="str">
        <f>A$3</f>
        <v>Prévu (périodes)</v>
      </c>
      <c r="D61" s="83">
        <v>2.0833333333333332E-2</v>
      </c>
      <c r="E61" s="53"/>
      <c r="F61" s="83">
        <v>2.0833333333333332E-2</v>
      </c>
      <c r="G61" s="53"/>
      <c r="H61" s="83">
        <v>2.0833333333333332E-2</v>
      </c>
      <c r="I61" s="54"/>
      <c r="J61" s="84">
        <v>2.0833333333333332E-2</v>
      </c>
      <c r="K61" s="54"/>
      <c r="L61" s="85"/>
      <c r="M61" s="53"/>
      <c r="N61" s="55">
        <f t="shared" ref="N61:N72" si="5">IF(SUM(D61:M61)=0,"",SUM(D61:M61))</f>
        <v>8.3333333333333329E-2</v>
      </c>
    </row>
    <row r="62" spans="1:14" ht="15" customHeight="1" thickBot="1" x14ac:dyDescent="0.3">
      <c r="B62" s="56"/>
      <c r="C62" s="57" t="str">
        <f>A$4</f>
        <v>Effectif</v>
      </c>
      <c r="D62" s="58">
        <v>2.0833333333333332E-2</v>
      </c>
      <c r="E62" s="59"/>
      <c r="F62" s="58">
        <v>2.0833333333333332E-2</v>
      </c>
      <c r="G62" s="59"/>
      <c r="H62" s="58">
        <f>SUMIFS(' Journal de Bord'!$D$4:$D$8367,' Journal de Bord'!$B$4:$B$8367,H$5,' Journal de Bord'!$C$4:$C$8367,$B61)</f>
        <v>0</v>
      </c>
      <c r="I62" s="60"/>
      <c r="J62" s="58">
        <f>SUMIFS(' Journal de Bord'!$D$4:$D$8367,' Journal de Bord'!$B$4:$B$8367,J$5,' Journal de Bord'!$C$4:$C$8367,$B61)</f>
        <v>0</v>
      </c>
      <c r="K62" s="60"/>
      <c r="L62" s="58">
        <f>SUMIFS(' Journal de Bord'!$D$4:$D$8367,' Journal de Bord'!$B$4:$B$8367,L$5,' Journal de Bord'!$C$4:$C$8367,$B61)</f>
        <v>0</v>
      </c>
      <c r="M62" s="59"/>
      <c r="N62" s="61">
        <f t="shared" si="5"/>
        <v>4.1666666666666664E-2</v>
      </c>
    </row>
    <row r="63" spans="1:14" ht="15" customHeight="1" x14ac:dyDescent="0.25">
      <c r="B63" s="9" t="str">
        <f>Base!G27</f>
        <v>42 Tests de la génération manuel</v>
      </c>
      <c r="C63" s="52" t="str">
        <f>A$3</f>
        <v>Prévu (périodes)</v>
      </c>
      <c r="D63" s="83"/>
      <c r="E63" s="53"/>
      <c r="F63" s="83">
        <v>4.5138888888888888E-2</v>
      </c>
      <c r="G63" s="53"/>
      <c r="H63" s="83">
        <v>4.1666666666666664E-2</v>
      </c>
      <c r="I63" s="54"/>
      <c r="J63" s="84">
        <v>4.1666666666666664E-2</v>
      </c>
      <c r="K63" s="54"/>
      <c r="L63" s="85"/>
      <c r="M63" s="53"/>
      <c r="N63" s="55">
        <f t="shared" si="5"/>
        <v>0.12847222222222221</v>
      </c>
    </row>
    <row r="64" spans="1:14" ht="15" customHeight="1" thickBot="1" x14ac:dyDescent="0.3">
      <c r="B64" s="56"/>
      <c r="C64" s="57" t="str">
        <f>A$4</f>
        <v>Effectif</v>
      </c>
      <c r="D64" s="58">
        <f>SUMIFS(' Journal de Bord'!$D$4:$D$8367,' Journal de Bord'!$B$4:$B$8367,D$5,' Journal de Bord'!$C$4:$C$8367,$B63)</f>
        <v>0</v>
      </c>
      <c r="E64" s="59"/>
      <c r="F64" s="58">
        <f>SUMIFS(' Journal de Bord'!$D$4:$D$8367,' Journal de Bord'!$B$4:$B$8367,F$5,' Journal de Bord'!$C$4:$C$8367,$B63)</f>
        <v>0</v>
      </c>
      <c r="G64" s="59"/>
      <c r="H64" s="58">
        <v>3.125E-2</v>
      </c>
      <c r="I64" s="60"/>
      <c r="J64" s="58">
        <v>4.1666666666666664E-2</v>
      </c>
      <c r="K64" s="60"/>
      <c r="L64" s="58">
        <f>SUMIFS(' Journal de Bord'!$D$4:$D$8367,' Journal de Bord'!$B$4:$B$8367,L$5,' Journal de Bord'!$C$4:$C$8367,$B63)</f>
        <v>0</v>
      </c>
      <c r="M64" s="59"/>
      <c r="N64" s="61">
        <f t="shared" si="5"/>
        <v>7.2916666666666657E-2</v>
      </c>
    </row>
    <row r="65" spans="1:14" ht="15" customHeight="1" x14ac:dyDescent="0.25">
      <c r="B65" s="9" t="str">
        <f>Base!G28</f>
        <v>43 Tests de la génération automatique</v>
      </c>
      <c r="C65" s="52" t="str">
        <f>A$3</f>
        <v>Prévu (périodes)</v>
      </c>
      <c r="D65" s="83"/>
      <c r="E65" s="53"/>
      <c r="F65" s="83"/>
      <c r="G65" s="53"/>
      <c r="H65" s="83">
        <v>2.0833333333333332E-2</v>
      </c>
      <c r="I65" s="54"/>
      <c r="J65" s="84">
        <v>6.25E-2</v>
      </c>
      <c r="K65" s="54"/>
      <c r="L65" s="85"/>
      <c r="M65" s="53"/>
      <c r="N65" s="55">
        <f t="shared" si="5"/>
        <v>8.3333333333333329E-2</v>
      </c>
    </row>
    <row r="66" spans="1:14" ht="15" customHeight="1" thickBot="1" x14ac:dyDescent="0.3">
      <c r="B66" s="56"/>
      <c r="C66" s="57" t="str">
        <f>A$4</f>
        <v>Effectif</v>
      </c>
      <c r="D66" s="58">
        <f>SUMIFS(' Journal de Bord'!$D$4:$D$8367,' Journal de Bord'!$B$4:$B$8367,D$5,' Journal de Bord'!$C$4:$C$8367,$B65)</f>
        <v>0</v>
      </c>
      <c r="E66" s="59"/>
      <c r="F66" s="58">
        <f>SUMIFS(' Journal de Bord'!$D$4:$D$8367,' Journal de Bord'!$B$4:$B$8367,F$5,' Journal de Bord'!$C$4:$C$8367,$B65)</f>
        <v>0</v>
      </c>
      <c r="G66" s="59"/>
      <c r="H66" s="58">
        <f>SUMIFS(' Journal de Bord'!$D$4:$D$8367,' Journal de Bord'!$B$4:$B$8367,H$5,' Journal de Bord'!$C$4:$C$8367,$B65)</f>
        <v>0</v>
      </c>
      <c r="I66" s="60"/>
      <c r="J66" s="58">
        <f>SUMIFS(' Journal de Bord'!$D$4:$D$8367,' Journal de Bord'!$B$4:$B$8367,J$5,' Journal de Bord'!$C$4:$C$8367,$B65)</f>
        <v>0</v>
      </c>
      <c r="K66" s="60"/>
      <c r="L66" s="58">
        <f>SUMIFS(' Journal de Bord'!$D$4:$D$8367,' Journal de Bord'!$B$4:$B$8367,L$5,' Journal de Bord'!$C$4:$C$8367,$B65)</f>
        <v>0</v>
      </c>
      <c r="M66" s="59"/>
      <c r="N66" s="61" t="str">
        <f t="shared" si="5"/>
        <v/>
      </c>
    </row>
    <row r="67" spans="1:14" ht="15" customHeight="1" x14ac:dyDescent="0.25">
      <c r="B67" s="9" t="str">
        <f>Base!G29</f>
        <v>44 Correction de bugs</v>
      </c>
      <c r="C67" s="52" t="str">
        <f>A$3</f>
        <v>Prévu (périodes)</v>
      </c>
      <c r="D67" s="83"/>
      <c r="E67" s="53"/>
      <c r="F67" s="83">
        <v>6.25E-2</v>
      </c>
      <c r="G67" s="53"/>
      <c r="H67" s="83">
        <v>4.1666666666666664E-2</v>
      </c>
      <c r="I67" s="54"/>
      <c r="J67" s="84">
        <v>0.16666666666666666</v>
      </c>
      <c r="K67" s="54"/>
      <c r="L67" s="85">
        <v>4.1666666666666664E-2</v>
      </c>
      <c r="M67" s="53"/>
      <c r="N67" s="55">
        <f t="shared" si="5"/>
        <v>0.3125</v>
      </c>
    </row>
    <row r="68" spans="1:14" ht="15" customHeight="1" thickBot="1" x14ac:dyDescent="0.3">
      <c r="B68" s="56"/>
      <c r="C68" s="57" t="str">
        <f>A$4</f>
        <v>Effectif</v>
      </c>
      <c r="D68" s="58">
        <f>SUMIFS(' Journal de Bord'!$D$4:$D$8367,' Journal de Bord'!$B$4:$B$8367,D$5,' Journal de Bord'!$C$4:$C$8367,$B67)</f>
        <v>0</v>
      </c>
      <c r="E68" s="59"/>
      <c r="F68" s="58">
        <v>2.0833333333333332E-2</v>
      </c>
      <c r="G68" s="59"/>
      <c r="H68" s="58">
        <v>5.2083333333333336E-2</v>
      </c>
      <c r="I68" s="60"/>
      <c r="J68" s="58">
        <v>4.1666666666666664E-2</v>
      </c>
      <c r="K68" s="60"/>
      <c r="L68" s="58">
        <f>SUMIFS(' Journal de Bord'!$D$4:$D$8367,' Journal de Bord'!$B$4:$B$8367,L$5,' Journal de Bord'!$C$4:$C$8367,$B67)</f>
        <v>0</v>
      </c>
      <c r="M68" s="59"/>
      <c r="N68" s="61">
        <f t="shared" si="5"/>
        <v>0.11458333333333334</v>
      </c>
    </row>
    <row r="69" spans="1:14" ht="15" customHeight="1" x14ac:dyDescent="0.25">
      <c r="B69" s="9" t="str">
        <f>Base!G30</f>
        <v>45 -</v>
      </c>
      <c r="C69" s="52" t="str">
        <f>A$3</f>
        <v>Prévu (périodes)</v>
      </c>
      <c r="D69" s="83"/>
      <c r="E69" s="53"/>
      <c r="F69" s="83"/>
      <c r="G69" s="53"/>
      <c r="H69" s="83"/>
      <c r="I69" s="54"/>
      <c r="J69" s="84"/>
      <c r="K69" s="54"/>
      <c r="L69" s="85"/>
      <c r="M69" s="53"/>
      <c r="N69" s="55" t="str">
        <f t="shared" si="5"/>
        <v/>
      </c>
    </row>
    <row r="70" spans="1:14" ht="15" customHeight="1" x14ac:dyDescent="0.25">
      <c r="B70" s="56"/>
      <c r="C70" s="57" t="str">
        <f>A$4</f>
        <v>Effectif</v>
      </c>
      <c r="D70" s="58">
        <f>SUMIFS(' Journal de Bord'!$D$4:$D$8367,' Journal de Bord'!$B$4:$B$8367,D$5,' Journal de Bord'!$C$4:$C$8367,$B69)</f>
        <v>0</v>
      </c>
      <c r="E70" s="59"/>
      <c r="F70" s="58">
        <f>SUMIFS(' Journal de Bord'!$D$4:$D$8367,' Journal de Bord'!$B$4:$B$8367,F$5,' Journal de Bord'!$C$4:$C$8367,$B69)</f>
        <v>0</v>
      </c>
      <c r="G70" s="59"/>
      <c r="H70" s="58">
        <f>SUMIFS(' Journal de Bord'!$D$4:$D$8367,' Journal de Bord'!$B$4:$B$8367,H$5,' Journal de Bord'!$C$4:$C$8367,$B69)</f>
        <v>0</v>
      </c>
      <c r="I70" s="60"/>
      <c r="J70" s="58">
        <f>SUMIFS(' Journal de Bord'!$D$4:$D$8367,' Journal de Bord'!$B$4:$B$8367,J$5,' Journal de Bord'!$C$4:$C$8367,$B69)</f>
        <v>0</v>
      </c>
      <c r="K70" s="60"/>
      <c r="L70" s="58">
        <f>SUMIFS(' Journal de Bord'!$D$4:$D$8367,' Journal de Bord'!$B$4:$B$8367,L$5,' Journal de Bord'!$C$4:$C$8367,$B69)</f>
        <v>0</v>
      </c>
      <c r="M70" s="59"/>
      <c r="N70" s="61" t="str">
        <f t="shared" si="5"/>
        <v/>
      </c>
    </row>
    <row r="71" spans="1:14" ht="15" customHeight="1" x14ac:dyDescent="0.25">
      <c r="B71" s="9" t="str">
        <f>Base!G31</f>
        <v>46 -</v>
      </c>
      <c r="C71" s="52" t="str">
        <f>A$3</f>
        <v>Prévu (périodes)</v>
      </c>
      <c r="D71" s="83"/>
      <c r="E71" s="53"/>
      <c r="F71" s="83"/>
      <c r="G71" s="53"/>
      <c r="H71" s="83"/>
      <c r="I71" s="54"/>
      <c r="J71" s="84"/>
      <c r="K71" s="54"/>
      <c r="L71" s="85"/>
      <c r="M71" s="53"/>
      <c r="N71" s="77" t="str">
        <f t="shared" si="5"/>
        <v/>
      </c>
    </row>
    <row r="72" spans="1:14" ht="15" customHeight="1" thickBot="1" x14ac:dyDescent="0.3">
      <c r="B72" s="56"/>
      <c r="C72" s="57" t="str">
        <f>A$4</f>
        <v>Effectif</v>
      </c>
      <c r="D72" s="58">
        <f>SUMIFS(' Journal de Bord'!$D$4:$D$8367,' Journal de Bord'!$B$4:$B$8367,D$5,' Journal de Bord'!$C$4:$C$8367,$B71)</f>
        <v>0</v>
      </c>
      <c r="E72" s="59"/>
      <c r="F72" s="58">
        <f>SUMIFS(' Journal de Bord'!$D$4:$D$8367,' Journal de Bord'!$B$4:$B$8367,F$5,' Journal de Bord'!$C$4:$C$8367,$B71)</f>
        <v>0</v>
      </c>
      <c r="G72" s="59"/>
      <c r="H72" s="58">
        <f>SUMIFS(' Journal de Bord'!$D$4:$D$8367,' Journal de Bord'!$B$4:$B$8367,H$5,' Journal de Bord'!$C$4:$C$8367,$B71)</f>
        <v>0</v>
      </c>
      <c r="I72" s="60"/>
      <c r="J72" s="58">
        <f>SUMIFS(' Journal de Bord'!$D$4:$D$8367,' Journal de Bord'!$B$4:$B$8367,J$5,' Journal de Bord'!$C$4:$C$8367,$B71)</f>
        <v>0</v>
      </c>
      <c r="K72" s="60"/>
      <c r="L72" s="58">
        <f>SUMIFS(' Journal de Bord'!$D$4:$D$8367,' Journal de Bord'!$B$4:$B$8367,L$5,' Journal de Bord'!$C$4:$C$8367,$B71)</f>
        <v>0</v>
      </c>
      <c r="M72" s="59"/>
      <c r="N72" s="61" t="str">
        <f t="shared" si="5"/>
        <v/>
      </c>
    </row>
    <row r="73" spans="1:14" ht="20.25" x14ac:dyDescent="0.25">
      <c r="A73" s="14" t="str">
        <f>Base!F32</f>
        <v>5 Documentation final</v>
      </c>
      <c r="B73" s="78"/>
      <c r="C73" s="78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47">
        <f ca="1">SUMIF($C75:$C84,$C75,N75:N83)</f>
        <v>0.61111111111111116</v>
      </c>
    </row>
    <row r="74" spans="1:14" ht="15" customHeight="1" thickBot="1" x14ac:dyDescent="0.3">
      <c r="A74" s="80"/>
      <c r="B74" s="81"/>
      <c r="C74" s="81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51">
        <f>SUMIF($C75:$C84,$C76,N75:N86)</f>
        <v>0.46527777777777773</v>
      </c>
    </row>
    <row r="75" spans="1:14" ht="15" customHeight="1" x14ac:dyDescent="0.25">
      <c r="B75" s="9" t="str">
        <f>Base!G32</f>
        <v>51 Rapport de projet</v>
      </c>
      <c r="C75" s="52" t="str">
        <f>A$3</f>
        <v>Prévu (périodes)</v>
      </c>
      <c r="D75" s="83">
        <v>2.0833333333333332E-2</v>
      </c>
      <c r="E75" s="53"/>
      <c r="F75" s="83">
        <v>2.0833333333333332E-2</v>
      </c>
      <c r="G75" s="53"/>
      <c r="H75" s="83">
        <v>2.0833333333333332E-2</v>
      </c>
      <c r="I75" s="54"/>
      <c r="J75" s="83">
        <v>2.0833333333333332E-2</v>
      </c>
      <c r="K75" s="54"/>
      <c r="L75" s="85"/>
      <c r="M75" s="53"/>
      <c r="N75" s="55">
        <f>IF(SUM(E75:M75)=0,"",SUM(E75:M75))</f>
        <v>6.25E-2</v>
      </c>
    </row>
    <row r="76" spans="1:14" ht="15" customHeight="1" thickBot="1" x14ac:dyDescent="0.3">
      <c r="B76" s="56"/>
      <c r="C76" s="57" t="str">
        <f>A$4</f>
        <v>Effectif</v>
      </c>
      <c r="D76" s="58">
        <v>2.0833333333333332E-2</v>
      </c>
      <c r="E76" s="59"/>
      <c r="F76" s="58">
        <v>2.0833333333333332E-2</v>
      </c>
      <c r="G76" s="59"/>
      <c r="H76" s="58">
        <v>3.125E-2</v>
      </c>
      <c r="I76" s="60"/>
      <c r="J76" s="58">
        <f>SUMIFS(' Journal de Bord'!$D$4:$D$8367,' Journal de Bord'!$B$4:$B$8367,J$5,' Journal de Bord'!$C$4:$C$8367,$B75)</f>
        <v>2.0833333333333332E-2</v>
      </c>
      <c r="K76" s="60"/>
      <c r="L76" s="58">
        <f>SUMIFS(' Journal de Bord'!$D$4:$D$8367,' Journal de Bord'!$B$4:$B$8367,L$5,' Journal de Bord'!$C$4:$C$8367,$B75)</f>
        <v>0</v>
      </c>
      <c r="M76" s="59"/>
      <c r="N76" s="61">
        <f>IF(SUM(D76:M76)=0,"",SUM(D76:M76))</f>
        <v>9.3749999999999986E-2</v>
      </c>
    </row>
    <row r="77" spans="1:14" ht="15" customHeight="1" x14ac:dyDescent="0.25">
      <c r="B77" s="9" t="str">
        <f>Base!G33</f>
        <v>52 Mise à jours de la documentation</v>
      </c>
      <c r="C77" s="52" t="str">
        <f>A$3</f>
        <v>Prévu (périodes)</v>
      </c>
      <c r="D77" s="83">
        <v>0.10416666666666667</v>
      </c>
      <c r="E77" s="53"/>
      <c r="F77" s="83">
        <v>0.10416666666666667</v>
      </c>
      <c r="G77" s="53"/>
      <c r="H77" s="83">
        <v>0.10416666666666667</v>
      </c>
      <c r="I77" s="54"/>
      <c r="J77" s="83">
        <v>0.10416666666666667</v>
      </c>
      <c r="K77" s="54"/>
      <c r="L77" s="85"/>
      <c r="M77" s="53"/>
      <c r="N77" s="55">
        <f>IF(SUM(E77:M77)=0,"",SUM(E77:M77))</f>
        <v>0.3125</v>
      </c>
    </row>
    <row r="78" spans="1:14" ht="15" customHeight="1" thickBot="1" x14ac:dyDescent="0.3">
      <c r="B78" s="56"/>
      <c r="C78" s="57" t="str">
        <f>A$4</f>
        <v>Effectif</v>
      </c>
      <c r="D78" s="58">
        <v>9.0277777777777776E-2</v>
      </c>
      <c r="E78" s="59"/>
      <c r="F78" s="58">
        <v>0.16666666666666666</v>
      </c>
      <c r="G78" s="59"/>
      <c r="H78" s="58">
        <v>4.1666666666666664E-2</v>
      </c>
      <c r="I78" s="60"/>
      <c r="J78" s="58">
        <v>5.2083333333333336E-2</v>
      </c>
      <c r="K78" s="60"/>
      <c r="L78" s="58">
        <f>SUMIFS(' Journal de Bord'!$D$4:$D$8367,' Journal de Bord'!$B$4:$B$8367,L$5,' Journal de Bord'!$C$4:$C$8367,$B77)</f>
        <v>0</v>
      </c>
      <c r="M78" s="59"/>
      <c r="N78" s="61">
        <f t="shared" ref="N78:N88" si="6">IF(SUM(D78:M78)=0,"",SUM(D78:M78))</f>
        <v>0.35069444444444442</v>
      </c>
    </row>
    <row r="79" spans="1:14" ht="15" customHeight="1" x14ac:dyDescent="0.25">
      <c r="B79" s="9" t="str">
        <f>Base!G34</f>
        <v>53 guide d'hebergement et d'utilisation</v>
      </c>
      <c r="C79" s="52" t="str">
        <f>A$3</f>
        <v>Prévu (périodes)</v>
      </c>
      <c r="D79" s="83"/>
      <c r="E79" s="53"/>
      <c r="F79" s="83"/>
      <c r="G79" s="53"/>
      <c r="H79" s="83"/>
      <c r="I79" s="54"/>
      <c r="J79" s="84"/>
      <c r="K79" s="54"/>
      <c r="L79" s="85">
        <v>2.0833333333333332E-2</v>
      </c>
      <c r="M79" s="53"/>
      <c r="N79" s="55">
        <f t="shared" si="6"/>
        <v>2.0833333333333332E-2</v>
      </c>
    </row>
    <row r="80" spans="1:14" ht="15" customHeight="1" thickBot="1" x14ac:dyDescent="0.3">
      <c r="B80" s="56"/>
      <c r="C80" s="57" t="str">
        <f>A$4</f>
        <v>Effectif</v>
      </c>
      <c r="D80" s="58">
        <f>SUMIFS(' Journal de Bord'!$D$4:$D$8367,' Journal de Bord'!$B$4:$B$8367,D$5,' Journal de Bord'!$C$4:$C$8367,$B79)</f>
        <v>0</v>
      </c>
      <c r="E80" s="59"/>
      <c r="F80" s="58">
        <f>SUMIFS(' Journal de Bord'!$D$4:$D$8367,' Journal de Bord'!$B$4:$B$8367,F$5,' Journal de Bord'!$C$4:$C$8367,$B79)</f>
        <v>0</v>
      </c>
      <c r="G80" s="59"/>
      <c r="H80" s="58">
        <f>SUMIFS(' Journal de Bord'!$D$4:$D$8367,' Journal de Bord'!$B$4:$B$8367,H$5,' Journal de Bord'!$C$4:$C$8367,$B79)</f>
        <v>0</v>
      </c>
      <c r="I80" s="60"/>
      <c r="J80" s="58">
        <f>SUMIFS(' Journal de Bord'!$D$4:$D$8367,' Journal de Bord'!$B$4:$B$8367,J$5,' Journal de Bord'!$C$4:$C$8367,$B79)</f>
        <v>0</v>
      </c>
      <c r="K80" s="60"/>
      <c r="L80" s="58">
        <f>SUMIFS(' Journal de Bord'!$D$4:$D$8367,' Journal de Bord'!$B$4:$B$8367,L$5,' Journal de Bord'!$C$4:$C$8367,$B79)</f>
        <v>0</v>
      </c>
      <c r="M80" s="59"/>
      <c r="N80" s="61" t="str">
        <f t="shared" si="6"/>
        <v/>
      </c>
    </row>
    <row r="81" spans="2:14" ht="15" customHeight="1" x14ac:dyDescent="0.25">
      <c r="B81" s="9" t="str">
        <f>Base!G35</f>
        <v>54 Finalisation de la documentation</v>
      </c>
      <c r="C81" s="52" t="str">
        <f>A$3</f>
        <v>Prévu (périodes)</v>
      </c>
      <c r="D81" s="83"/>
      <c r="E81" s="53"/>
      <c r="F81" s="83"/>
      <c r="G81" s="53"/>
      <c r="H81" s="83"/>
      <c r="I81" s="54"/>
      <c r="J81" s="84"/>
      <c r="K81" s="54"/>
      <c r="L81" s="85">
        <v>0.19444444444444445</v>
      </c>
      <c r="M81" s="53"/>
      <c r="N81" s="55">
        <f t="shared" si="6"/>
        <v>0.19444444444444445</v>
      </c>
    </row>
    <row r="82" spans="2:14" ht="15" customHeight="1" thickBot="1" x14ac:dyDescent="0.3">
      <c r="B82" s="56"/>
      <c r="C82" s="57" t="str">
        <f>A$4</f>
        <v>Effectif</v>
      </c>
      <c r="D82" s="58">
        <f>SUMIFS(' Journal de Bord'!$D$4:$D$8367,' Journal de Bord'!$B$4:$B$8367,D$5,' Journal de Bord'!$C$4:$C$8367,$B81)</f>
        <v>0</v>
      </c>
      <c r="E82" s="59"/>
      <c r="F82" s="58">
        <f>SUMIFS(' Journal de Bord'!$D$4:$D$8367,' Journal de Bord'!$B$4:$B$8367,F$5,' Journal de Bord'!$C$4:$C$8367,$B81)</f>
        <v>0</v>
      </c>
      <c r="G82" s="59"/>
      <c r="H82" s="58">
        <f>SUMIFS(' Journal de Bord'!$D$4:$D$8367,' Journal de Bord'!$B$4:$B$8367,H$5,' Journal de Bord'!$C$4:$C$8367,$B81)</f>
        <v>0</v>
      </c>
      <c r="I82" s="60"/>
      <c r="J82" s="58">
        <f>SUMIFS(' Journal de Bord'!$D$4:$D$8367,' Journal de Bord'!$B$4:$B$8367,J$5,' Journal de Bord'!$C$4:$C$8367,$B81)</f>
        <v>0</v>
      </c>
      <c r="K82" s="60"/>
      <c r="L82" s="58">
        <f>SUMIFS(' Journal de Bord'!$D$4:$D$8367,' Journal de Bord'!$B$4:$B$8367,L$5,' Journal de Bord'!$C$4:$C$8367,$B81)</f>
        <v>0</v>
      </c>
      <c r="M82" s="59"/>
      <c r="N82" s="61" t="str">
        <f t="shared" si="6"/>
        <v/>
      </c>
    </row>
    <row r="83" spans="2:14" ht="15" customHeight="1" x14ac:dyDescent="0.25">
      <c r="B83" s="9" t="str">
        <f>Base!G36</f>
        <v>55 Visite de M.Bertino</v>
      </c>
      <c r="C83" s="52" t="str">
        <f>A$3</f>
        <v>Prévu (périodes)</v>
      </c>
      <c r="D83" s="83"/>
      <c r="E83" s="53"/>
      <c r="F83" s="83"/>
      <c r="G83" s="53"/>
      <c r="H83" s="83"/>
      <c r="I83" s="54"/>
      <c r="J83" s="84"/>
      <c r="K83" s="54"/>
      <c r="L83" s="85">
        <v>2.0833333333333332E-2</v>
      </c>
      <c r="M83" s="53"/>
      <c r="N83" s="55">
        <f t="shared" si="6"/>
        <v>2.0833333333333332E-2</v>
      </c>
    </row>
    <row r="84" spans="2:14" ht="15" customHeight="1" thickBot="1" x14ac:dyDescent="0.3">
      <c r="B84" s="56"/>
      <c r="C84" s="57" t="str">
        <f>A$4</f>
        <v>Effectif</v>
      </c>
      <c r="D84" s="58">
        <f>SUMIFS(' Journal de Bord'!$D$4:$D$8367,' Journal de Bord'!$B$4:$B$8367,D$5,' Journal de Bord'!$C$4:$C$8367,$B83)</f>
        <v>0</v>
      </c>
      <c r="E84" s="59"/>
      <c r="F84" s="58">
        <f>SUMIFS(' Journal de Bord'!$D$4:$D$8367,' Journal de Bord'!$B$4:$B$8367,F$5,' Journal de Bord'!$C$4:$C$8367,$B83)</f>
        <v>0</v>
      </c>
      <c r="G84" s="59"/>
      <c r="H84" s="58">
        <v>2.0833333333333332E-2</v>
      </c>
      <c r="I84" s="60"/>
      <c r="J84" s="58">
        <f>SUMIFS(' Journal de Bord'!$D$4:$D$8367,' Journal de Bord'!$B$4:$B$8367,J$5,' Journal de Bord'!$C$4:$C$8367,$B83)</f>
        <v>0</v>
      </c>
      <c r="K84" s="60"/>
      <c r="L84" s="58">
        <f>SUMIFS(' Journal de Bord'!$D$4:$D$8367,' Journal de Bord'!$B$4:$B$8367,L$5,' Journal de Bord'!$C$4:$C$8367,$B83)</f>
        <v>0</v>
      </c>
      <c r="M84" s="59"/>
      <c r="N84" s="61">
        <f t="shared" si="6"/>
        <v>2.0833333333333332E-2</v>
      </c>
    </row>
    <row r="85" spans="2:14" ht="15" customHeight="1" x14ac:dyDescent="0.25">
      <c r="B85" s="9" t="str">
        <f>Base!G37</f>
        <v>56 Visite de M.Oberson</v>
      </c>
      <c r="C85" s="52" t="str">
        <f>A$3</f>
        <v>Prévu (périodes)</v>
      </c>
      <c r="D85" s="83">
        <v>4.1666666666666664E-2</v>
      </c>
      <c r="E85" s="53"/>
      <c r="F85" s="83"/>
      <c r="G85" s="53"/>
      <c r="H85" s="83"/>
      <c r="I85" s="54"/>
      <c r="J85" s="84"/>
      <c r="K85" s="54"/>
      <c r="L85" s="85"/>
      <c r="M85" s="53"/>
      <c r="N85" s="55">
        <f t="shared" si="6"/>
        <v>4.1666666666666664E-2</v>
      </c>
    </row>
    <row r="86" spans="2:14" ht="15" customHeight="1" thickBot="1" x14ac:dyDescent="0.3">
      <c r="B86" s="56"/>
      <c r="C86" s="57" t="str">
        <f>A$4</f>
        <v>Effectif</v>
      </c>
      <c r="D86" s="58">
        <v>4.1666666666666664E-2</v>
      </c>
      <c r="E86" s="59"/>
      <c r="F86" s="58"/>
      <c r="G86" s="59"/>
      <c r="H86" s="58"/>
      <c r="I86" s="60"/>
      <c r="J86" s="58"/>
      <c r="K86" s="60"/>
      <c r="L86" s="58"/>
      <c r="M86" s="59"/>
      <c r="N86" s="61">
        <f t="shared" si="6"/>
        <v>4.1666666666666664E-2</v>
      </c>
    </row>
    <row r="87" spans="2:14" ht="30" x14ac:dyDescent="0.25">
      <c r="B87" s="9"/>
      <c r="C87" s="52" t="str">
        <f>A$3</f>
        <v>Prévu (périodes)</v>
      </c>
      <c r="D87" s="83"/>
      <c r="E87" s="53"/>
      <c r="F87" s="83"/>
      <c r="G87" s="53"/>
      <c r="H87" s="83"/>
      <c r="I87" s="54"/>
      <c r="J87" s="84"/>
      <c r="K87" s="54"/>
      <c r="L87" s="85"/>
      <c r="M87" s="53"/>
      <c r="N87" s="55" t="str">
        <f t="shared" si="6"/>
        <v/>
      </c>
    </row>
    <row r="88" spans="2:14" x14ac:dyDescent="0.25">
      <c r="B88" s="56"/>
      <c r="C88" s="57" t="str">
        <f>A$4</f>
        <v>Effectif</v>
      </c>
      <c r="D88" s="58">
        <f>SUMIFS(' Journal de Bord'!$D$4:$D$8367,' Journal de Bord'!$B$4:$B$8367,D$5,' Journal de Bord'!$C$4:$C$8367,$B87)</f>
        <v>0</v>
      </c>
      <c r="E88" s="59"/>
      <c r="F88" s="58">
        <f>SUMIFS(' Journal de Bord'!$D$4:$D$8367,' Journal de Bord'!$B$4:$B$8367,F$5,' Journal de Bord'!$C$4:$C$8367,$B87)</f>
        <v>0</v>
      </c>
      <c r="G88" s="59"/>
      <c r="H88" s="58">
        <f>SUMIFS(' Journal de Bord'!$D$4:$D$8367,' Journal de Bord'!$B$4:$B$8367,H$5,' Journal de Bord'!$C$4:$C$8367,$B87)</f>
        <v>0</v>
      </c>
      <c r="I88" s="60"/>
      <c r="J88" s="58">
        <f>SUMIFS(' Journal de Bord'!$D$4:$D$8367,' Journal de Bord'!$B$4:$B$8367,J$5,' Journal de Bord'!$C$4:$C$8367,$B87)</f>
        <v>0</v>
      </c>
      <c r="K88" s="60"/>
      <c r="L88" s="58">
        <f>SUMIFS(' Journal de Bord'!$D$4:$D$8367,' Journal de Bord'!$B$4:$B$8367,L$5,' Journal de Bord'!$C$4:$C$8367,$B87)</f>
        <v>0</v>
      </c>
      <c r="M88" s="59"/>
      <c r="N88" s="61" t="str">
        <f t="shared" si="6"/>
        <v/>
      </c>
    </row>
  </sheetData>
  <sheetProtection selectLockedCells="1"/>
  <conditionalFormatting sqref="B3">
    <cfRule type="colorScale" priority="12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">
    <cfRule type="cellIs" dxfId="26" priority="1205" stopIfTrue="1" operator="greaterThan">
      <formula>0</formula>
    </cfRule>
  </conditionalFormatting>
  <conditionalFormatting sqref="D3">
    <cfRule type="colorScale" priority="1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25" priority="1116" stopIfTrue="1" operator="greaterThan">
      <formula>0</formula>
    </cfRule>
  </conditionalFormatting>
  <conditionalFormatting sqref="D11:M11 D17:M17 D21:M21 D13:M13 D15:M15 D19:M19 D25:M25 D31:M31 D35:M35 D27:M27 D29:M29 D33:M33 D39:M39 D45:M45 D41:M41 D43:M43 D47:M47 D67:M67 D71:M71 D63:M63 D65:M65 D69:M69 D81:M81 D85:M85 D79:M79 D83:M83 D49:M49 D53:M53 D57:M57 D87:M87 D61:M61 D75:M75 D77:M77 D51:M51 D55:M55">
    <cfRule type="cellIs" dxfId="24" priority="608" operator="greaterThan">
      <formula>0</formula>
    </cfRule>
  </conditionalFormatting>
  <conditionalFormatting sqref="D12:M12 D14:M14 D16:M16 D18:M18 D22:M22 D20:M20 D26:M26 D28:M28 D30:M30 D32:M32 D36:M36 D34:M34 D40:M40 D42:M42 D44:M44 D46:M46 D48:M48 D62:M62 D64:M64 D66:M66 D68:M68 D72:M72 D70:M70 D76:M76 D78:M78 D80:M80 D82:M82 D86:M86 D84:M84 D50:M50 D52:M52 D54:M54 D56:M56 D58:M58 D88:M88">
    <cfRule type="cellIs" dxfId="23" priority="596" operator="greaterThan">
      <formula>0</formula>
    </cfRule>
  </conditionalFormatting>
  <conditionalFormatting sqref="F3">
    <cfRule type="colorScale" priority="38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22" priority="386" stopIfTrue="1" operator="greaterThan">
      <formula>0</formula>
    </cfRule>
  </conditionalFormatting>
  <conditionalFormatting sqref="H3">
    <cfRule type="colorScale" priority="3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21" priority="383" stopIfTrue="1" operator="greaterThan">
      <formula>0</formula>
    </cfRule>
  </conditionalFormatting>
  <conditionalFormatting sqref="J3">
    <cfRule type="colorScale" priority="38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20" priority="380" stopIfTrue="1" operator="greaterThan">
      <formula>0</formula>
    </cfRule>
  </conditionalFormatting>
  <conditionalFormatting sqref="L3">
    <cfRule type="colorScale" priority="3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19" priority="377" stopIfTrue="1" operator="greaterThan">
      <formula>0</formula>
    </cfRule>
  </conditionalFormatting>
  <conditionalFormatting sqref="N11 N13 N15 N17 N21">
    <cfRule type="cellIs" dxfId="18" priority="180" operator="greaterThan">
      <formula>0</formula>
    </cfRule>
  </conditionalFormatting>
  <conditionalFormatting sqref="N12 N14 N16 N18 N22">
    <cfRule type="cellIs" dxfId="17" priority="179" operator="greaterThan">
      <formula>0</formula>
    </cfRule>
  </conditionalFormatting>
  <conditionalFormatting sqref="N71">
    <cfRule type="cellIs" dxfId="16" priority="154" operator="greaterThan">
      <formula>0</formula>
    </cfRule>
  </conditionalFormatting>
  <conditionalFormatting sqref="N83 N81 N79 N77 N75 N69 N67 N65 N63 N61 N47 N45 N43 N41 N39 N35 N33 N31 N29 N27 N25 N19">
    <cfRule type="cellIs" dxfId="15" priority="128" operator="greaterThan">
      <formula>0</formula>
    </cfRule>
  </conditionalFormatting>
  <conditionalFormatting sqref="N84 N82 N80 N78 N76 N72 N70 N68 N66 N64 N62 N48 N46 N44 N42 N40 N36 N34 N32 N30 N28 N26 N20">
    <cfRule type="cellIs" dxfId="14" priority="127" operator="greaterThan">
      <formula>0</formula>
    </cfRule>
  </conditionalFormatting>
  <conditionalFormatting sqref="N49">
    <cfRule type="cellIs" dxfId="13" priority="26" operator="greaterThan">
      <formula>0</formula>
    </cfRule>
  </conditionalFormatting>
  <conditionalFormatting sqref="N50">
    <cfRule type="cellIs" dxfId="12" priority="25" operator="greaterThan">
      <formula>0</formula>
    </cfRule>
  </conditionalFormatting>
  <conditionalFormatting sqref="N51">
    <cfRule type="cellIs" dxfId="11" priority="22" operator="greaterThan">
      <formula>0</formula>
    </cfRule>
  </conditionalFormatting>
  <conditionalFormatting sqref="N52">
    <cfRule type="cellIs" dxfId="10" priority="21" operator="greaterThan">
      <formula>0</formula>
    </cfRule>
  </conditionalFormatting>
  <conditionalFormatting sqref="N53">
    <cfRule type="cellIs" dxfId="9" priority="18" operator="greaterThan">
      <formula>0</formula>
    </cfRule>
  </conditionalFormatting>
  <conditionalFormatting sqref="N54">
    <cfRule type="cellIs" dxfId="8" priority="17" operator="greaterThan">
      <formula>0</formula>
    </cfRule>
  </conditionalFormatting>
  <conditionalFormatting sqref="N55">
    <cfRule type="cellIs" dxfId="7" priority="14" operator="greaterThan">
      <formula>0</formula>
    </cfRule>
  </conditionalFormatting>
  <conditionalFormatting sqref="N56">
    <cfRule type="cellIs" dxfId="6" priority="13" operator="greaterThan">
      <formula>0</formula>
    </cfRule>
  </conditionalFormatting>
  <conditionalFormatting sqref="N57">
    <cfRule type="cellIs" dxfId="5" priority="10" operator="greaterThan">
      <formula>0</formula>
    </cfRule>
  </conditionalFormatting>
  <conditionalFormatting sqref="N58">
    <cfRule type="cellIs" dxfId="4" priority="9" operator="greaterThan">
      <formula>0</formula>
    </cfRule>
  </conditionalFormatting>
  <conditionalFormatting sqref="N87">
    <cfRule type="cellIs" dxfId="3" priority="6" operator="greaterThan">
      <formula>0</formula>
    </cfRule>
  </conditionalFormatting>
  <conditionalFormatting sqref="N88">
    <cfRule type="cellIs" dxfId="2" priority="5" operator="greaterThan">
      <formula>0</formula>
    </cfRule>
  </conditionalFormatting>
  <conditionalFormatting sqref="N85">
    <cfRule type="cellIs" dxfId="1" priority="2" operator="greaterThan">
      <formula>0</formula>
    </cfRule>
  </conditionalFormatting>
  <conditionalFormatting sqref="N86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9" scale="36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H62"/>
  <sheetViews>
    <sheetView tabSelected="1" workbookViewId="0">
      <pane ySplit="3" topLeftCell="A40" activePane="bottomLeft" state="frozen"/>
      <selection pane="bottomLeft" activeCell="E57" sqref="E57"/>
    </sheetView>
  </sheetViews>
  <sheetFormatPr baseColWidth="10" defaultRowHeight="15" x14ac:dyDescent="0.25"/>
  <cols>
    <col min="3" max="3" width="50" bestFit="1" customWidth="1"/>
    <col min="4" max="4" width="11" customWidth="1"/>
    <col min="5" max="5" width="50.42578125" customWidth="1"/>
  </cols>
  <sheetData>
    <row r="1" spans="1:5" x14ac:dyDescent="0.25">
      <c r="A1" s="93" t="s">
        <v>6</v>
      </c>
      <c r="B1" s="93"/>
      <c r="C1" s="94" t="str">
        <f>CONCATENATE(Base!C5," ",Base!D5)</f>
        <v>N! P!</v>
      </c>
      <c r="D1" s="95"/>
      <c r="E1" s="96">
        <f ca="1">TODAY()</f>
        <v>45068</v>
      </c>
    </row>
    <row r="2" spans="1:5" x14ac:dyDescent="0.25">
      <c r="A2" s="94" t="s">
        <v>13</v>
      </c>
      <c r="B2" s="95"/>
      <c r="C2" s="95"/>
      <c r="D2" s="95"/>
      <c r="E2" s="97"/>
    </row>
    <row r="3" spans="1:5" x14ac:dyDescent="0.25">
      <c r="A3" s="98" t="s">
        <v>1</v>
      </c>
      <c r="B3" s="98" t="s">
        <v>4</v>
      </c>
      <c r="C3" s="98" t="s">
        <v>7</v>
      </c>
      <c r="D3" s="98" t="s">
        <v>2</v>
      </c>
      <c r="E3" s="99" t="s">
        <v>3</v>
      </c>
    </row>
    <row r="4" spans="1:5" x14ac:dyDescent="0.25">
      <c r="A4" s="87">
        <v>45048</v>
      </c>
      <c r="B4" s="100">
        <v>1</v>
      </c>
      <c r="C4" s="7" t="s">
        <v>67</v>
      </c>
      <c r="D4" s="91">
        <v>4.1666666666666664E-2</v>
      </c>
      <c r="E4" s="89" t="s">
        <v>68</v>
      </c>
    </row>
    <row r="5" spans="1:5" x14ac:dyDescent="0.25">
      <c r="A5" s="87">
        <v>45048</v>
      </c>
      <c r="B5" s="100">
        <v>1</v>
      </c>
      <c r="C5" s="7" t="s">
        <v>18</v>
      </c>
      <c r="D5" s="91">
        <v>0.16666666666666666</v>
      </c>
      <c r="E5" s="89"/>
    </row>
    <row r="6" spans="1:5" x14ac:dyDescent="0.25">
      <c r="A6" s="87">
        <v>45048</v>
      </c>
      <c r="B6" s="100">
        <v>1</v>
      </c>
      <c r="C6" s="7" t="s">
        <v>47</v>
      </c>
      <c r="D6" s="91">
        <v>8.3333333333333329E-2</v>
      </c>
      <c r="E6" s="89"/>
    </row>
    <row r="7" spans="1:5" x14ac:dyDescent="0.25">
      <c r="A7" s="87">
        <v>45048</v>
      </c>
      <c r="B7" s="100">
        <v>1</v>
      </c>
      <c r="C7" s="7" t="s">
        <v>66</v>
      </c>
      <c r="D7" s="91">
        <v>1.3888888888888888E-2</v>
      </c>
      <c r="E7" s="89"/>
    </row>
    <row r="8" spans="1:5" x14ac:dyDescent="0.25">
      <c r="A8" s="87">
        <v>45048</v>
      </c>
      <c r="B8" s="100">
        <v>1</v>
      </c>
      <c r="C8" s="7" t="s">
        <v>25</v>
      </c>
      <c r="D8" s="91">
        <v>6.9444444444444441E-3</v>
      </c>
      <c r="E8" s="89"/>
    </row>
    <row r="9" spans="1:5" x14ac:dyDescent="0.25">
      <c r="A9" s="87">
        <v>45048</v>
      </c>
      <c r="B9" s="100">
        <v>1</v>
      </c>
      <c r="C9" s="7" t="s">
        <v>28</v>
      </c>
      <c r="D9" s="91">
        <v>1.0416666666666666E-2</v>
      </c>
      <c r="E9" s="89"/>
    </row>
    <row r="10" spans="1:5" x14ac:dyDescent="0.25">
      <c r="A10" s="87">
        <v>45049</v>
      </c>
      <c r="B10" s="100">
        <v>1</v>
      </c>
      <c r="C10" s="7" t="s">
        <v>42</v>
      </c>
      <c r="D10" s="91">
        <v>6.25E-2</v>
      </c>
      <c r="E10" s="89"/>
    </row>
    <row r="11" spans="1:5" x14ac:dyDescent="0.25">
      <c r="A11" s="87">
        <v>45049</v>
      </c>
      <c r="B11" s="100">
        <v>1</v>
      </c>
      <c r="C11" s="7" t="s">
        <v>44</v>
      </c>
      <c r="D11" s="91">
        <v>6.25E-2</v>
      </c>
      <c r="E11" s="89"/>
    </row>
    <row r="12" spans="1:5" x14ac:dyDescent="0.25">
      <c r="A12" s="87">
        <v>45049</v>
      </c>
      <c r="B12" s="100">
        <v>1</v>
      </c>
      <c r="C12" s="7" t="s">
        <v>25</v>
      </c>
      <c r="D12" s="91">
        <v>1.3888888888888888E-2</v>
      </c>
      <c r="E12" s="89"/>
    </row>
    <row r="13" spans="1:5" x14ac:dyDescent="0.25">
      <c r="A13" s="87">
        <v>45049</v>
      </c>
      <c r="B13" s="100">
        <v>1</v>
      </c>
      <c r="C13" s="7" t="s">
        <v>43</v>
      </c>
      <c r="D13" s="91">
        <v>1.3888888888888888E-2</v>
      </c>
      <c r="E13" s="89"/>
    </row>
    <row r="14" spans="1:5" x14ac:dyDescent="0.25">
      <c r="A14" s="87">
        <v>45049</v>
      </c>
      <c r="B14" s="100">
        <v>1</v>
      </c>
      <c r="C14" s="7" t="s">
        <v>41</v>
      </c>
      <c r="D14" s="91">
        <v>3.472222222222222E-3</v>
      </c>
      <c r="E14" s="89"/>
    </row>
    <row r="15" spans="1:5" x14ac:dyDescent="0.25">
      <c r="A15" s="87">
        <v>45050</v>
      </c>
      <c r="B15" s="100">
        <v>1</v>
      </c>
      <c r="C15" s="7" t="s">
        <v>19</v>
      </c>
      <c r="D15" s="91">
        <v>6.25E-2</v>
      </c>
      <c r="E15" s="89"/>
    </row>
    <row r="16" spans="1:5" x14ac:dyDescent="0.25">
      <c r="A16" s="87">
        <v>45050</v>
      </c>
      <c r="B16" s="100">
        <v>1</v>
      </c>
      <c r="C16" s="7" t="s">
        <v>45</v>
      </c>
      <c r="D16" s="91">
        <v>3.4722222222222224E-2</v>
      </c>
      <c r="E16" s="89"/>
    </row>
    <row r="17" spans="1:5" x14ac:dyDescent="0.25">
      <c r="A17" s="87">
        <v>45050</v>
      </c>
      <c r="B17" s="100">
        <v>1</v>
      </c>
      <c r="C17" s="7" t="s">
        <v>46</v>
      </c>
      <c r="D17" s="91">
        <v>1.3888888888888888E-2</v>
      </c>
      <c r="E17" s="89"/>
    </row>
    <row r="18" spans="1:5" x14ac:dyDescent="0.25">
      <c r="A18" s="87">
        <v>45050</v>
      </c>
      <c r="B18" s="100">
        <v>1</v>
      </c>
      <c r="C18" s="7" t="s">
        <v>49</v>
      </c>
      <c r="D18" s="91">
        <v>6.9444444444444441E-3</v>
      </c>
      <c r="E18" s="89"/>
    </row>
    <row r="19" spans="1:5" s="107" customFormat="1" x14ac:dyDescent="0.25">
      <c r="A19" s="87">
        <v>45050</v>
      </c>
      <c r="B19" s="100">
        <v>1</v>
      </c>
      <c r="C19" s="108" t="s">
        <v>48</v>
      </c>
      <c r="D19" s="91">
        <v>3.4722222222222224E-2</v>
      </c>
      <c r="E19" s="106"/>
    </row>
    <row r="20" spans="1:5" x14ac:dyDescent="0.25">
      <c r="A20" s="87">
        <v>45050</v>
      </c>
      <c r="B20" s="100">
        <v>1</v>
      </c>
      <c r="C20" s="7" t="s">
        <v>50</v>
      </c>
      <c r="D20" s="91">
        <v>6.9444444444444441E-3</v>
      </c>
      <c r="E20" s="89"/>
    </row>
    <row r="21" spans="1:5" x14ac:dyDescent="0.25">
      <c r="A21" s="87">
        <v>45050</v>
      </c>
      <c r="B21" s="100">
        <v>1</v>
      </c>
      <c r="C21" s="7" t="s">
        <v>27</v>
      </c>
      <c r="D21" s="91">
        <v>2.0833333333333332E-2</v>
      </c>
      <c r="E21" s="89"/>
    </row>
    <row r="22" spans="1:5" x14ac:dyDescent="0.25">
      <c r="A22" s="87">
        <v>45050</v>
      </c>
      <c r="B22" s="100">
        <v>1</v>
      </c>
      <c r="C22" s="7" t="s">
        <v>60</v>
      </c>
      <c r="D22" s="91">
        <v>9.0277777777777776E-2</v>
      </c>
      <c r="E22" s="89"/>
    </row>
    <row r="23" spans="1:5" x14ac:dyDescent="0.25">
      <c r="A23" s="87">
        <v>45050</v>
      </c>
      <c r="B23" s="100">
        <v>1</v>
      </c>
      <c r="C23" s="7" t="s">
        <v>28</v>
      </c>
      <c r="D23" s="91">
        <v>1.0416666666666666E-2</v>
      </c>
      <c r="E23" s="89"/>
    </row>
    <row r="24" spans="1:5" x14ac:dyDescent="0.25">
      <c r="A24" s="87">
        <v>45054</v>
      </c>
      <c r="B24" s="100">
        <v>2</v>
      </c>
      <c r="C24" s="7" t="s">
        <v>42</v>
      </c>
      <c r="D24" s="91">
        <v>8.3333333333333329E-2</v>
      </c>
      <c r="E24" s="89"/>
    </row>
    <row r="25" spans="1:5" x14ac:dyDescent="0.25">
      <c r="A25" s="87">
        <v>45054</v>
      </c>
      <c r="B25" s="100">
        <v>2</v>
      </c>
      <c r="C25" s="7" t="s">
        <v>45</v>
      </c>
      <c r="D25" s="91">
        <v>0.10416666666666667</v>
      </c>
      <c r="E25" s="89"/>
    </row>
    <row r="26" spans="1:5" x14ac:dyDescent="0.25">
      <c r="A26" s="87">
        <v>45054</v>
      </c>
      <c r="B26" s="100">
        <v>2</v>
      </c>
      <c r="C26" s="7" t="s">
        <v>49</v>
      </c>
      <c r="D26" s="91">
        <v>1.3888888888888888E-2</v>
      </c>
      <c r="E26" s="89"/>
    </row>
    <row r="27" spans="1:5" x14ac:dyDescent="0.25">
      <c r="A27" s="87">
        <v>45054</v>
      </c>
      <c r="B27" s="100">
        <v>2</v>
      </c>
      <c r="C27" s="7" t="s">
        <v>46</v>
      </c>
      <c r="D27" s="91">
        <v>1.7361111111111112E-2</v>
      </c>
      <c r="E27" s="89"/>
    </row>
    <row r="28" spans="1:5" x14ac:dyDescent="0.25">
      <c r="A28" s="87">
        <v>45055</v>
      </c>
      <c r="B28" s="100">
        <v>2</v>
      </c>
      <c r="C28" s="7" t="s">
        <v>46</v>
      </c>
      <c r="D28" s="91">
        <v>3.8194444444444441E-2</v>
      </c>
      <c r="E28" s="89"/>
    </row>
    <row r="29" spans="1:5" x14ac:dyDescent="0.25">
      <c r="A29" s="87">
        <v>45055</v>
      </c>
      <c r="B29" s="100">
        <v>2</v>
      </c>
      <c r="C29" s="7" t="s">
        <v>51</v>
      </c>
      <c r="D29" s="91">
        <v>4.1666666666666664E-2</v>
      </c>
      <c r="E29" s="89"/>
    </row>
    <row r="30" spans="1:5" x14ac:dyDescent="0.25">
      <c r="A30" s="87">
        <v>45055</v>
      </c>
      <c r="B30" s="100">
        <v>2</v>
      </c>
      <c r="C30" s="7" t="s">
        <v>52</v>
      </c>
      <c r="D30" s="91">
        <v>4.1666666666666664E-2</v>
      </c>
      <c r="E30" s="89"/>
    </row>
    <row r="31" spans="1:5" x14ac:dyDescent="0.25">
      <c r="A31" s="87">
        <v>45055</v>
      </c>
      <c r="B31" s="100">
        <v>2</v>
      </c>
      <c r="C31" s="7" t="s">
        <v>54</v>
      </c>
      <c r="D31" s="91">
        <v>6.5972222222222224E-2</v>
      </c>
      <c r="E31" s="89"/>
    </row>
    <row r="32" spans="1:5" x14ac:dyDescent="0.25">
      <c r="A32" s="87">
        <v>45055</v>
      </c>
      <c r="B32" s="100">
        <v>2</v>
      </c>
      <c r="C32" s="7" t="s">
        <v>60</v>
      </c>
      <c r="D32" s="91">
        <v>8.3333333333333329E-2</v>
      </c>
      <c r="E32" s="89"/>
    </row>
    <row r="33" spans="1:8" x14ac:dyDescent="0.25">
      <c r="A33" s="87">
        <v>45055</v>
      </c>
      <c r="B33" s="100">
        <v>2</v>
      </c>
      <c r="C33" s="7" t="s">
        <v>28</v>
      </c>
      <c r="D33" s="91">
        <v>1.0416666666666666E-2</v>
      </c>
      <c r="E33" s="89"/>
    </row>
    <row r="34" spans="1:8" x14ac:dyDescent="0.25">
      <c r="A34" s="87">
        <v>45056</v>
      </c>
      <c r="B34" s="100">
        <v>2</v>
      </c>
      <c r="C34" s="7" t="s">
        <v>54</v>
      </c>
      <c r="D34" s="91">
        <v>0.15625</v>
      </c>
      <c r="E34" s="89"/>
    </row>
    <row r="35" spans="1:8" ht="45" x14ac:dyDescent="0.25">
      <c r="A35" s="87">
        <v>45057</v>
      </c>
      <c r="B35" s="100">
        <v>2</v>
      </c>
      <c r="C35" s="7" t="s">
        <v>54</v>
      </c>
      <c r="D35" s="91">
        <v>0.19097222222222221</v>
      </c>
      <c r="E35" s="89" t="s">
        <v>90</v>
      </c>
    </row>
    <row r="36" spans="1:8" x14ac:dyDescent="0.25">
      <c r="A36" s="87">
        <v>45057</v>
      </c>
      <c r="B36" s="100">
        <v>2</v>
      </c>
      <c r="C36" s="7" t="s">
        <v>27</v>
      </c>
      <c r="D36" s="91">
        <v>2.0833333333333332E-2</v>
      </c>
      <c r="E36" s="89"/>
    </row>
    <row r="37" spans="1:8" x14ac:dyDescent="0.25">
      <c r="A37" s="87">
        <v>45057</v>
      </c>
      <c r="B37" s="100">
        <v>2</v>
      </c>
      <c r="C37" s="7" t="s">
        <v>57</v>
      </c>
      <c r="D37" s="91">
        <v>2.0833333333333332E-2</v>
      </c>
      <c r="E37" s="89"/>
      <c r="G37" t="s">
        <v>70</v>
      </c>
      <c r="H37" t="s">
        <v>77</v>
      </c>
    </row>
    <row r="38" spans="1:8" x14ac:dyDescent="0.25">
      <c r="A38" s="87">
        <v>45057</v>
      </c>
      <c r="B38" s="100">
        <v>2</v>
      </c>
      <c r="C38" s="7" t="s">
        <v>61</v>
      </c>
      <c r="D38" s="91">
        <v>2.0833333333333332E-2</v>
      </c>
      <c r="E38" s="89"/>
      <c r="G38" t="s">
        <v>71</v>
      </c>
      <c r="H38" t="s">
        <v>76</v>
      </c>
    </row>
    <row r="39" spans="1:8" x14ac:dyDescent="0.25">
      <c r="A39" s="87">
        <v>45057</v>
      </c>
      <c r="B39" s="100">
        <v>2</v>
      </c>
      <c r="C39" s="7" t="s">
        <v>60</v>
      </c>
      <c r="D39" s="91">
        <v>8.3333333333333329E-2</v>
      </c>
      <c r="E39" s="89"/>
      <c r="G39" t="s">
        <v>72</v>
      </c>
      <c r="H39" t="s">
        <v>75</v>
      </c>
    </row>
    <row r="40" spans="1:8" x14ac:dyDescent="0.25">
      <c r="A40" s="87">
        <v>45057</v>
      </c>
      <c r="B40" s="100">
        <v>2</v>
      </c>
      <c r="C40" s="7" t="s">
        <v>28</v>
      </c>
      <c r="D40" s="91">
        <v>1.0416666666666666E-2</v>
      </c>
      <c r="E40" s="89"/>
      <c r="G40" t="s">
        <v>73</v>
      </c>
      <c r="H40" t="s">
        <v>74</v>
      </c>
    </row>
    <row r="41" spans="1:8" x14ac:dyDescent="0.25">
      <c r="A41" s="87">
        <v>45061</v>
      </c>
      <c r="B41" s="100">
        <v>3</v>
      </c>
      <c r="C41" s="7" t="s">
        <v>28</v>
      </c>
      <c r="D41" s="91">
        <v>2.0833333333333332E-2</v>
      </c>
      <c r="E41" s="89"/>
    </row>
    <row r="42" spans="1:8" x14ac:dyDescent="0.25">
      <c r="A42" s="87">
        <v>45061</v>
      </c>
      <c r="B42" s="100">
        <v>3</v>
      </c>
      <c r="C42" s="7" t="s">
        <v>61</v>
      </c>
      <c r="D42" s="91">
        <v>4.1666666666666664E-2</v>
      </c>
      <c r="E42" s="89"/>
    </row>
    <row r="43" spans="1:8" x14ac:dyDescent="0.25">
      <c r="A43" s="87">
        <v>45061</v>
      </c>
      <c r="B43" s="100">
        <v>3</v>
      </c>
      <c r="C43" s="7" t="s">
        <v>54</v>
      </c>
      <c r="D43" s="91">
        <v>8.3333333333333329E-2</v>
      </c>
      <c r="E43" s="89"/>
    </row>
    <row r="44" spans="1:8" x14ac:dyDescent="0.25">
      <c r="A44" s="87">
        <v>45061</v>
      </c>
      <c r="B44" s="100">
        <v>3</v>
      </c>
      <c r="C44" s="7" t="s">
        <v>57</v>
      </c>
      <c r="D44" s="91">
        <v>4.1666666666666664E-2</v>
      </c>
      <c r="E44" s="89"/>
    </row>
    <row r="45" spans="1:8" x14ac:dyDescent="0.25">
      <c r="A45" s="87">
        <v>45061</v>
      </c>
      <c r="B45" s="100">
        <v>3</v>
      </c>
      <c r="C45" s="7" t="s">
        <v>56</v>
      </c>
      <c r="D45" s="91">
        <v>3.125E-2</v>
      </c>
      <c r="E45" s="89"/>
    </row>
    <row r="46" spans="1:8" ht="16.5" customHeight="1" x14ac:dyDescent="0.25">
      <c r="A46" s="87">
        <v>45062</v>
      </c>
      <c r="B46" s="100">
        <v>3</v>
      </c>
      <c r="C46" s="7" t="s">
        <v>65</v>
      </c>
      <c r="D46" s="91">
        <v>2.0833333333333332E-2</v>
      </c>
      <c r="E46" s="89"/>
    </row>
    <row r="47" spans="1:8" ht="16.5" customHeight="1" x14ac:dyDescent="0.25">
      <c r="A47" s="87">
        <v>45062</v>
      </c>
      <c r="B47" s="100">
        <v>3</v>
      </c>
      <c r="C47" s="7" t="s">
        <v>53</v>
      </c>
      <c r="D47" s="91">
        <v>0.20833333333333334</v>
      </c>
      <c r="E47" s="89"/>
    </row>
    <row r="48" spans="1:8" ht="16.5" customHeight="1" x14ac:dyDescent="0.25">
      <c r="A48" s="87">
        <v>45062</v>
      </c>
      <c r="B48" s="100">
        <v>3</v>
      </c>
      <c r="C48" s="7" t="s">
        <v>60</v>
      </c>
      <c r="D48" s="91">
        <v>4.1666666666666664E-2</v>
      </c>
      <c r="E48" s="89"/>
    </row>
    <row r="49" spans="1:5" ht="16.5" customHeight="1" x14ac:dyDescent="0.25">
      <c r="A49" s="87">
        <v>45062</v>
      </c>
      <c r="B49" s="100">
        <v>3</v>
      </c>
      <c r="C49" s="7" t="s">
        <v>28</v>
      </c>
      <c r="D49" s="91">
        <v>1.0416666666666666E-2</v>
      </c>
      <c r="E49" s="89"/>
    </row>
    <row r="50" spans="1:5" ht="16.5" customHeight="1" x14ac:dyDescent="0.25">
      <c r="A50" s="87">
        <v>45063</v>
      </c>
      <c r="B50" s="100">
        <v>3</v>
      </c>
      <c r="C50" s="7" t="s">
        <v>55</v>
      </c>
      <c r="D50" s="91">
        <v>0.14583333333333334</v>
      </c>
      <c r="E50" s="89"/>
    </row>
    <row r="51" spans="1:5" ht="16.5" customHeight="1" x14ac:dyDescent="0.25">
      <c r="A51" s="87">
        <v>45063</v>
      </c>
      <c r="B51" s="100">
        <v>3</v>
      </c>
      <c r="C51" s="7" t="s">
        <v>57</v>
      </c>
      <c r="D51" s="91">
        <v>1.0416666666666666E-2</v>
      </c>
      <c r="E51" s="89"/>
    </row>
    <row r="52" spans="1:5" ht="16.5" customHeight="1" x14ac:dyDescent="0.25">
      <c r="A52" s="87">
        <v>45068</v>
      </c>
      <c r="B52" s="100">
        <v>4</v>
      </c>
      <c r="C52" s="7" t="s">
        <v>53</v>
      </c>
      <c r="D52" s="91">
        <v>4.1666666666666664E-2</v>
      </c>
      <c r="E52" s="89"/>
    </row>
    <row r="53" spans="1:5" ht="16.5" customHeight="1" x14ac:dyDescent="0.25">
      <c r="A53" s="87">
        <v>45068</v>
      </c>
      <c r="B53" s="100">
        <v>4</v>
      </c>
      <c r="C53" s="7" t="s">
        <v>59</v>
      </c>
      <c r="D53" s="91">
        <v>2.0833333333333332E-2</v>
      </c>
      <c r="E53" s="89"/>
    </row>
    <row r="54" spans="1:5" ht="16.5" customHeight="1" x14ac:dyDescent="0.25">
      <c r="A54" s="87">
        <v>45068</v>
      </c>
      <c r="B54" s="100">
        <v>4</v>
      </c>
      <c r="C54" s="7" t="s">
        <v>56</v>
      </c>
      <c r="D54" s="91">
        <v>4.1666666666666664E-2</v>
      </c>
      <c r="E54" s="89"/>
    </row>
    <row r="55" spans="1:5" x14ac:dyDescent="0.25">
      <c r="A55" s="87">
        <v>45068</v>
      </c>
      <c r="B55" s="100">
        <v>4</v>
      </c>
      <c r="C55" s="7" t="s">
        <v>57</v>
      </c>
      <c r="D55" s="91">
        <v>4.1666666666666664E-2</v>
      </c>
      <c r="E55" s="89"/>
    </row>
    <row r="56" spans="1:5" x14ac:dyDescent="0.25">
      <c r="A56" s="87">
        <v>45068</v>
      </c>
      <c r="B56" s="100">
        <v>4</v>
      </c>
      <c r="C56" s="7" t="s">
        <v>28</v>
      </c>
      <c r="D56" s="91">
        <v>2.0833333333333332E-2</v>
      </c>
      <c r="E56" s="89"/>
    </row>
    <row r="57" spans="1:5" x14ac:dyDescent="0.25">
      <c r="A57" s="87">
        <v>45068</v>
      </c>
      <c r="B57" s="100">
        <v>4</v>
      </c>
      <c r="C57" s="7" t="s">
        <v>60</v>
      </c>
      <c r="D57" s="91">
        <v>5.2083333333333336E-2</v>
      </c>
      <c r="E57" s="89"/>
    </row>
    <row r="58" spans="1:5" x14ac:dyDescent="0.25">
      <c r="A58" s="87">
        <v>45069</v>
      </c>
      <c r="B58" s="100">
        <v>4</v>
      </c>
      <c r="C58" s="7"/>
      <c r="D58" s="91"/>
      <c r="E58" s="89"/>
    </row>
    <row r="59" spans="1:5" x14ac:dyDescent="0.25">
      <c r="A59" s="87">
        <v>45070</v>
      </c>
      <c r="B59" s="100">
        <v>4</v>
      </c>
      <c r="C59" s="7"/>
      <c r="D59" s="91"/>
      <c r="E59" s="89"/>
    </row>
    <row r="60" spans="1:5" x14ac:dyDescent="0.25">
      <c r="A60" s="87">
        <v>45071</v>
      </c>
      <c r="B60" s="100">
        <v>4</v>
      </c>
      <c r="C60" s="7"/>
      <c r="D60" s="91"/>
      <c r="E60" s="89"/>
    </row>
    <row r="61" spans="1:5" x14ac:dyDescent="0.25">
      <c r="A61" s="87">
        <v>45072</v>
      </c>
      <c r="B61" s="100">
        <v>4</v>
      </c>
      <c r="C61" s="8"/>
      <c r="D61" s="92"/>
      <c r="E61" s="90"/>
    </row>
    <row r="62" spans="1:5" x14ac:dyDescent="0.25">
      <c r="A62" s="87">
        <v>45076</v>
      </c>
      <c r="B62" s="101">
        <v>5</v>
      </c>
      <c r="C62" s="8"/>
      <c r="D62" s="92"/>
      <c r="E62" s="9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51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Base!$G$4:$G$37</xm:f>
          </x14:formula1>
          <xm:sqref>C4:C62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25"/>
  <sheetViews>
    <sheetView workbookViewId="0">
      <pane ySplit="3" topLeftCell="A4" activePane="bottomLeft" state="frozen"/>
      <selection pane="bottomLeft" activeCell="C18" sqref="C18"/>
    </sheetView>
  </sheetViews>
  <sheetFormatPr baseColWidth="10" defaultRowHeight="15" x14ac:dyDescent="0.25"/>
  <cols>
    <col min="3" max="3" width="50" bestFit="1" customWidth="1"/>
    <col min="4" max="4" width="11" customWidth="1"/>
    <col min="5" max="5" width="50.42578125" customWidth="1"/>
  </cols>
  <sheetData>
    <row r="1" spans="1:5" x14ac:dyDescent="0.25">
      <c r="A1" s="93" t="s">
        <v>6</v>
      </c>
      <c r="B1" s="93"/>
      <c r="C1" s="94" t="str">
        <f>CONCATENATE(Base!C5," ",Base!D5)</f>
        <v>N! P!</v>
      </c>
      <c r="D1" s="95"/>
      <c r="E1" s="96">
        <f ca="1">TODAY()</f>
        <v>45068</v>
      </c>
    </row>
    <row r="2" spans="1:5" x14ac:dyDescent="0.25">
      <c r="A2" s="94" t="s">
        <v>13</v>
      </c>
      <c r="B2" s="95"/>
      <c r="C2" s="95"/>
      <c r="D2" s="95"/>
      <c r="E2" s="97"/>
    </row>
    <row r="3" spans="1:5" x14ac:dyDescent="0.25">
      <c r="A3" s="98" t="s">
        <v>1</v>
      </c>
      <c r="B3" s="98" t="s">
        <v>4</v>
      </c>
      <c r="C3" s="98" t="s">
        <v>7</v>
      </c>
      <c r="D3" s="98" t="s">
        <v>2</v>
      </c>
      <c r="E3" s="99" t="s">
        <v>3</v>
      </c>
    </row>
    <row r="4" spans="1:5" ht="30" x14ac:dyDescent="0.25">
      <c r="A4" s="87">
        <v>45048</v>
      </c>
      <c r="B4" s="100">
        <v>1</v>
      </c>
      <c r="C4" s="7" t="s">
        <v>67</v>
      </c>
      <c r="D4" s="91">
        <v>4.1666666666666664E-2</v>
      </c>
      <c r="E4" s="89" t="s">
        <v>78</v>
      </c>
    </row>
    <row r="5" spans="1:5" x14ac:dyDescent="0.25">
      <c r="A5" s="87">
        <v>45048</v>
      </c>
      <c r="B5" s="100">
        <v>1</v>
      </c>
      <c r="C5" s="7" t="s">
        <v>28</v>
      </c>
      <c r="D5" s="91"/>
      <c r="E5" s="89" t="s">
        <v>79</v>
      </c>
    </row>
    <row r="6" spans="1:5" x14ac:dyDescent="0.25">
      <c r="A6" s="87">
        <v>45049</v>
      </c>
      <c r="B6" s="100">
        <v>1</v>
      </c>
      <c r="C6" s="7" t="s">
        <v>25</v>
      </c>
      <c r="D6" s="91"/>
      <c r="E6" s="89" t="s">
        <v>80</v>
      </c>
    </row>
    <row r="7" spans="1:5" x14ac:dyDescent="0.25">
      <c r="A7" s="87">
        <v>45050</v>
      </c>
      <c r="B7" s="100">
        <v>1</v>
      </c>
      <c r="C7" s="7" t="s">
        <v>28</v>
      </c>
      <c r="D7" s="91"/>
      <c r="E7" s="89" t="s">
        <v>83</v>
      </c>
    </row>
    <row r="8" spans="1:5" ht="30" x14ac:dyDescent="0.25">
      <c r="A8" s="87">
        <v>45051</v>
      </c>
      <c r="B8" s="100">
        <v>1</v>
      </c>
      <c r="C8" s="7" t="s">
        <v>28</v>
      </c>
      <c r="D8" s="91">
        <v>2.0833333333333332E-2</v>
      </c>
      <c r="E8" s="89" t="s">
        <v>81</v>
      </c>
    </row>
    <row r="9" spans="1:5" ht="14.25" customHeight="1" x14ac:dyDescent="0.25">
      <c r="A9" s="87">
        <v>45054</v>
      </c>
      <c r="B9" s="100">
        <v>2</v>
      </c>
      <c r="C9" s="7" t="s">
        <v>60</v>
      </c>
      <c r="D9" s="91"/>
      <c r="E9" s="89" t="s">
        <v>82</v>
      </c>
    </row>
    <row r="10" spans="1:5" x14ac:dyDescent="0.25">
      <c r="A10" s="87">
        <v>45055</v>
      </c>
      <c r="B10" s="100">
        <v>2</v>
      </c>
      <c r="C10" s="7" t="s">
        <v>28</v>
      </c>
      <c r="D10" s="91"/>
      <c r="E10" s="89" t="s">
        <v>84</v>
      </c>
    </row>
    <row r="11" spans="1:5" ht="30" x14ac:dyDescent="0.25">
      <c r="A11" s="87">
        <v>45055</v>
      </c>
      <c r="B11" s="100">
        <v>2</v>
      </c>
      <c r="C11" s="7" t="s">
        <v>66</v>
      </c>
      <c r="D11" s="91"/>
      <c r="E11" s="89" t="s">
        <v>85</v>
      </c>
    </row>
    <row r="12" spans="1:5" x14ac:dyDescent="0.25">
      <c r="A12" s="87">
        <v>45057</v>
      </c>
      <c r="B12" s="100">
        <v>2</v>
      </c>
      <c r="C12" s="7" t="s">
        <v>28</v>
      </c>
      <c r="D12" s="91"/>
      <c r="E12" s="89" t="s">
        <v>86</v>
      </c>
    </row>
    <row r="13" spans="1:5" x14ac:dyDescent="0.25">
      <c r="A13" s="87">
        <v>45061</v>
      </c>
      <c r="B13" s="100">
        <v>3</v>
      </c>
      <c r="C13" s="7" t="s">
        <v>28</v>
      </c>
      <c r="D13" s="91">
        <v>2.0833333333333332E-2</v>
      </c>
      <c r="E13" s="89" t="s">
        <v>87</v>
      </c>
    </row>
    <row r="14" spans="1:5" ht="30" x14ac:dyDescent="0.25">
      <c r="A14" s="87">
        <v>45062</v>
      </c>
      <c r="B14" s="100">
        <v>3</v>
      </c>
      <c r="C14" s="7" t="s">
        <v>65</v>
      </c>
      <c r="D14" s="91">
        <v>2.0833333333333332E-2</v>
      </c>
      <c r="E14" s="89" t="s">
        <v>88</v>
      </c>
    </row>
    <row r="15" spans="1:5" x14ac:dyDescent="0.25">
      <c r="A15" s="87">
        <v>45062</v>
      </c>
      <c r="B15" s="100">
        <v>3</v>
      </c>
      <c r="C15" s="7" t="s">
        <v>28</v>
      </c>
      <c r="D15" s="91"/>
      <c r="E15" s="89" t="s">
        <v>89</v>
      </c>
    </row>
    <row r="16" spans="1:5" x14ac:dyDescent="0.25">
      <c r="A16" s="87">
        <v>45068</v>
      </c>
      <c r="B16" s="100">
        <v>4</v>
      </c>
      <c r="C16" s="7" t="s">
        <v>28</v>
      </c>
      <c r="D16" s="91">
        <v>2.0833333333333332E-2</v>
      </c>
      <c r="E16" s="89" t="s">
        <v>91</v>
      </c>
    </row>
    <row r="17" spans="1:5" x14ac:dyDescent="0.25">
      <c r="A17" s="87">
        <v>45068</v>
      </c>
      <c r="B17" s="100">
        <v>4</v>
      </c>
      <c r="C17" s="7" t="s">
        <v>28</v>
      </c>
      <c r="D17" s="91"/>
      <c r="E17" s="89" t="s">
        <v>92</v>
      </c>
    </row>
    <row r="18" spans="1:5" x14ac:dyDescent="0.25">
      <c r="A18" s="87">
        <v>45069</v>
      </c>
      <c r="B18" s="100">
        <v>4</v>
      </c>
      <c r="C18" s="7"/>
      <c r="D18" s="91"/>
      <c r="E18" s="89"/>
    </row>
    <row r="19" spans="1:5" x14ac:dyDescent="0.25">
      <c r="A19" s="87">
        <v>45070</v>
      </c>
      <c r="B19" s="100">
        <v>4</v>
      </c>
      <c r="C19" s="7"/>
      <c r="D19" s="91"/>
      <c r="E19" s="89"/>
    </row>
    <row r="20" spans="1:5" x14ac:dyDescent="0.25">
      <c r="A20" s="87">
        <v>45071</v>
      </c>
      <c r="B20" s="100">
        <v>4</v>
      </c>
      <c r="C20" s="7"/>
      <c r="D20" s="91"/>
      <c r="E20" s="89"/>
    </row>
    <row r="21" spans="1:5" x14ac:dyDescent="0.25">
      <c r="A21" s="87">
        <v>45072</v>
      </c>
      <c r="B21" s="100">
        <v>4</v>
      </c>
      <c r="C21" s="8"/>
      <c r="D21" s="92"/>
      <c r="E21" s="90"/>
    </row>
    <row r="22" spans="1:5" x14ac:dyDescent="0.25">
      <c r="A22" s="87">
        <v>45075</v>
      </c>
      <c r="B22" s="101">
        <v>5</v>
      </c>
      <c r="C22" s="8"/>
      <c r="D22" s="92"/>
      <c r="E22" s="90"/>
    </row>
    <row r="23" spans="1:5" x14ac:dyDescent="0.25">
      <c r="A23" s="87">
        <v>45076</v>
      </c>
      <c r="B23" s="101">
        <v>5</v>
      </c>
      <c r="C23" s="8"/>
      <c r="D23" s="92"/>
      <c r="E23" s="90"/>
    </row>
    <row r="24" spans="1:5" x14ac:dyDescent="0.25">
      <c r="A24" s="87">
        <v>45077</v>
      </c>
      <c r="B24" s="101">
        <v>5</v>
      </c>
      <c r="C24" s="8"/>
      <c r="D24" s="92"/>
      <c r="E24" s="90"/>
    </row>
    <row r="25" spans="1:5" x14ac:dyDescent="0.25">
      <c r="A25" s="88"/>
      <c r="B25" s="101"/>
      <c r="C25" s="8"/>
      <c r="D25" s="92"/>
      <c r="E25" s="9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64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Base!$G$4:$G$37</xm:f>
          </x14:formula1>
          <xm:sqref>C4:C25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Base</vt:lpstr>
      <vt:lpstr>Planning</vt:lpstr>
      <vt:lpstr> Journal de Travail</vt:lpstr>
      <vt:lpstr> Journal de Bord</vt:lpstr>
      <vt:lpstr>Planning!Print_Area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ZUBIETA-RODRIGUEZ Pablo-Fernando</cp:lastModifiedBy>
  <cp:lastPrinted>2023-05-11T12:50:01Z</cp:lastPrinted>
  <dcterms:created xsi:type="dcterms:W3CDTF">2015-01-22T08:10:30Z</dcterms:created>
  <dcterms:modified xsi:type="dcterms:W3CDTF">2023-05-22T14:50:16Z</dcterms:modified>
</cp:coreProperties>
</file>